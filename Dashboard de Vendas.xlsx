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xr:revisionPtr revIDLastSave="0" documentId="8_{7D3F7D0B-CFE3-48D5-A567-EE3B2EBDFC27}" xr6:coauthVersionLast="47" xr6:coauthVersionMax="47" xr10:uidLastSave="{00000000-0000-0000-0000-000000000000}"/>
  <bookViews>
    <workbookView xWindow="-120" yWindow="-120" windowWidth="19420" windowHeight="11020" firstSheet="2" activeTab="3" xr2:uid="{00000000-000D-0000-FFFF-FFFF00000000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216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C7" i="4"/>
  <c r="C28" i="3"/>
  <c r="C7" i="3"/>
</calcChain>
</file>

<file path=xl/sharedStrings.xml><?xml version="1.0" encoding="utf-8"?>
<sst xmlns="http://schemas.openxmlformats.org/spreadsheetml/2006/main" count="2012" uniqueCount="320">
  <si>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</si>
  <si>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</si>
  <si>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</si>
  <si>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</si>
  <si>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</si>
  <si>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</si>
  <si>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</si>
  <si>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</si>
  <si>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</si>
  <si>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</si>
  <si>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</si>
  <si>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</si>
  <si>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</si>
  <si>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</si>
  <si>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</si>
  <si>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</si>
  <si>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</si>
  <si>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</si>
  <si>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</si>
  <si>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</si>
  <si>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</si>
  <si>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</si>
  <si>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</si>
  <si>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</si>
  <si>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</si>
  <si>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</si>
  <si>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</si>
  <si>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</si>
  <si>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</si>
  <si>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</si>
  <si>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</si>
  <si>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</si>
  <si>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</si>
  <si>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</si>
  <si>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</si>
  <si>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</si>
  <si>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</si>
  <si>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</si>
  <si>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</si>
  <si>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</si>
  <si>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</si>
  <si>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</si>
  <si>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</si>
  <si>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</si>
  <si>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</si>
  <si>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</si>
  <si>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</si>
  <si>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</si>
  <si>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</si>
  <si>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</si>
  <si>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</si>
  <si>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</si>
  <si>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</si>
  <si>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</si>
  <si>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</si>
  <si>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</si>
  <si>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</si>
  <si>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</si>
  <si>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</si>
  <si>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</si>
  <si>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</si>
  <si>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</si>
  <si>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</si>
  <si>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</si>
  <si>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</si>
  <si>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</si>
  <si>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</si>
  <si>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</si>
  <si>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</si>
  <si>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</si>
  <si>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</si>
  <si>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</si>
  <si>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</si>
  <si>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</si>
  <si>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</si>
  <si>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</si>
  <si>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</si>
  <si>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</si>
  <si>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</si>
  <si>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</si>
  <si>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</si>
  <si>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</si>
  <si>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</si>
  <si>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</si>
  <si>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</si>
  <si>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</si>
  <si>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</si>
  <si>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</si>
  <si>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</si>
  <si>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</si>
  <si>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</si>
  <si>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</si>
  <si>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</si>
  <si>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</si>
  <si>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</si>
  <si>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</si>
  <si>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</si>
  <si>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</si>
  <si>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</si>
  <si>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</si>
  <si>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</si>
  <si>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</si>
  <si>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</si>
  <si>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</si>
  <si>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</si>
  <si>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</si>
  <si>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</si>
  <si>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</si>
  <si>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</si>
  <si>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</si>
  <si>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</si>
  <si>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</si>
  <si>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</si>
  <si>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</si>
  <si>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</si>
  <si>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</si>
  <si>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</si>
  <si>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</si>
  <si>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</si>
  <si>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</si>
  <si>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</si>
  <si>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</si>
  <si>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</si>
  <si>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</si>
  <si>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</si>
  <si>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</si>
  <si>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</si>
  <si>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</si>
  <si>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</si>
  <si>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</si>
  <si>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</si>
  <si>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</si>
  <si>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</si>
  <si>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</si>
  <si>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</si>
  <si>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</si>
  <si>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</si>
  <si>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</si>
  <si>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</si>
  <si>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</si>
  <si>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</si>
  <si>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</si>
  <si>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</si>
  <si>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</si>
  <si>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</si>
  <si>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</si>
  <si>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</si>
  <si>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</si>
  <si>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</si>
  <si>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</si>
  <si>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</si>
  <si>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</si>
  <si>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</si>
  <si>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</si>
  <si>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</si>
  <si>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</si>
  <si>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</si>
  <si>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</si>
  <si>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</si>
  <si>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</si>
  <si>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</si>
  <si>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</si>
  <si>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</si>
  <si>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</si>
  <si>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</si>
  <si>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</si>
  <si>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</si>
  <si>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</si>
  <si>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</si>
  <si>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</si>
  <si>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</si>
  <si>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</si>
  <si>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</si>
  <si>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</si>
  <si>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</si>
  <si>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</si>
  <si>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</si>
  <si>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</si>
  <si>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</si>
  <si>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</si>
  <si>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</si>
  <si>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</si>
  <si>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</si>
  <si>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</si>
  <si>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</si>
  <si>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</si>
  <si>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</si>
  <si>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</si>
  <si>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</si>
  <si>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</si>
  <si>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</si>
  <si>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</si>
  <si>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</si>
  <si>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</si>
  <si>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</si>
  <si>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</si>
  <si>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</si>
  <si>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</si>
  <si>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</si>
  <si>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</si>
  <si>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</si>
  <si>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</si>
  <si>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</si>
  <si>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</si>
  <si>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</si>
  <si>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</si>
  <si>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</si>
  <si>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</si>
  <si>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</si>
  <si>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</si>
  <si>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</si>
  <si>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</si>
  <si>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</si>
  <si>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</si>
  <si>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</si>
  <si>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</si>
  <si>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</si>
  <si>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</si>
  <si>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</si>
  <si>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</si>
  <si>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</si>
  <si>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</si>
  <si>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</si>
  <si>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</si>
  <si>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</si>
  <si>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</si>
  <si>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</si>
  <si>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</si>
  <si>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</si>
  <si>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</si>
  <si>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</si>
  <si>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</si>
  <si>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</si>
  <si>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</si>
  <si>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</si>
  <si>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</si>
  <si>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</si>
  <si>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</si>
  <si>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</si>
  <si>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</si>
  <si>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</si>
  <si>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</si>
  <si>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</si>
  <si>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</si>
  <si>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</si>
  <si>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</si>
  <si>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</si>
  <si>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</si>
  <si>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</si>
  <si>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</si>
  <si>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</si>
  <si>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</si>
  <si>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</si>
  <si>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</si>
  <si>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</si>
  <si>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</si>
  <si>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</si>
  <si>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</si>
  <si>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</si>
  <si>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</si>
  <si>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</si>
  <si>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</si>
  <si>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</si>
  <si>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</si>
  <si>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</si>
  <si>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</si>
  <si>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</si>
  <si>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</si>
  <si>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</si>
  <si>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</si>
  <si>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</si>
  <si>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</si>
  <si>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</si>
  <si>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</si>
  <si>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</si>
  <si>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</si>
  <si>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</si>
  <si>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</si>
  <si>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</si>
  <si>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</si>
  <si>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</si>
  <si>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</si>
  <si>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</si>
  <si>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</si>
  <si>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</si>
  <si>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</si>
  <si>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</si>
  <si>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</si>
  <si>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</si>
  <si>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</si>
  <si>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</si>
  <si>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</si>
  <si>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</si>
  <si>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</si>
  <si>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</si>
  <si>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</si>
  <si>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</si>
  <si>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</si>
  <si>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</si>
  <si>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</si>
  <si>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</si>
  <si>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</si>
  <si>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</si>
  <si>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</si>
  <si>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</si>
  <si>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</si>
  <si>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</si>
  <si>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</si>
  <si>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</si>
  <si>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</si>
  <si>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</si>
  <si>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</si>
  <si>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</si>
  <si>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rPr>
        <sz val="11"/>
        <color rgb="FF000000"/>
        <rFont val="Aptos Narrow"/>
      </rPr>
      <t xml:space="preserve">Pergunta de negócio 1 - Qual faturamento </t>
    </r>
    <r>
      <rPr>
        <b/>
        <sz val="11"/>
        <color rgb="FF000000"/>
        <rFont val="Aptos Narrow"/>
      </rPr>
      <t>Total de vendas</t>
    </r>
    <r>
      <rPr>
        <sz val="11"/>
        <color rgb="FF000000"/>
        <rFont val="Aptos Narrow"/>
      </rPr>
      <t xml:space="preserve"> de </t>
    </r>
    <r>
      <rPr>
        <b/>
        <sz val="11"/>
        <color rgb="FF000000"/>
        <rFont val="Aptos Narrow"/>
      </rPr>
      <t xml:space="preserve">planos anuais </t>
    </r>
    <r>
      <rPr>
        <sz val="11"/>
        <color rgb="FF000000"/>
        <rFont val="Aptos Narrow"/>
      </rPr>
      <t>(contendo todas as assinaturas agregadas)</t>
    </r>
  </si>
  <si>
    <r>
      <t xml:space="preserve">Pergunta de negócio 2 - Qual faturamento </t>
    </r>
    <r>
      <rPr>
        <b/>
        <sz val="11"/>
        <color rgb="FF242424"/>
        <rFont val="Aptos Narrow"/>
      </rPr>
      <t xml:space="preserve">Total de vendas </t>
    </r>
    <r>
      <rPr>
        <sz val="11"/>
        <color rgb="FF242424"/>
        <rFont val="Aptos Narrow"/>
      </rPr>
      <t xml:space="preserve">de planos anuais, </t>
    </r>
    <r>
      <rPr>
        <b/>
        <sz val="11"/>
        <color rgb="FF242424"/>
        <rFont val="Aptos Narrow"/>
      </rPr>
      <t>separado por auto renovação e não auto renovação</t>
    </r>
  </si>
  <si>
    <t>Soma de Total Value</t>
  </si>
  <si>
    <t>Total Geral</t>
  </si>
  <si>
    <t>Pergunta de negócio 3 - Total de vendas de assinaturas do EA Play</t>
  </si>
  <si>
    <t>Soma de EA Play Season PassPrice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</si>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</sst>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</font>
    <font>
      <b/>
      <sz val="11"/>
      <color rgb="FF242424"/>
      <name val="Aptos Narrow"/>
    </font>
    <font>
      <sz val="18"/>
      <color theme="3"/>
      <name val="Aptos Display"/>
      <scheme val="major"/>
    </font>
    <font>
      <sz val="11"/>
      <color theme="0"/>
      <name val="Aptos Narrow"/>
      <family val="2"/>
      <scheme val="minor"/>
    </font>
    <font>
      <sz val="20"/>
      <color rgb="FF22C55E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Border="1"/>
    <xf numFmtId="0" fontId="9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top" wrapText="1"/>
    </xf>
    <xf numFmtId="0" fontId="8" fillId="0" borderId="2" xfId="3" applyFill="1" applyBorder="1" applyAlignment="1">
      <alignment horizontal="left" wrapText="1"/>
    </xf>
    <xf numFmtId="0" fontId="8" fillId="0" borderId="0" xfId="3" applyFill="1" applyBorder="1" applyAlignment="1">
      <alignment horizontal="left" wrapText="1"/>
    </xf>
    <xf numFmtId="0" fontId="0" fillId="0" borderId="0" xfId="0" applyNumberFormat="1"/>
    <xf numFmtId="0" fontId="0" fillId="9" borderId="0" xfId="0" applyFill="1" applyAlignment="1">
      <alignment horizontal="left"/>
    </xf>
    <xf numFmtId="165" fontId="10" fillId="9" borderId="0" xfId="0" applyNumberFormat="1" applyFont="1" applyFill="1" applyAlignment="1">
      <alignment horizontal="center" vertical="center"/>
    </xf>
    <xf numFmtId="0" fontId="0" fillId="11" borderId="0" xfId="0" applyFill="1" applyBorder="1"/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FFFFFF"/>
      <color rgb="FF2AE6B1"/>
      <color rgb="FF156082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[baseDados (1).xlsx]C̳álculos!tbl_annual_total</c:name>
    <c:fmtId val="41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534677630240867E-2"/>
          <c:y val="2.9411764705882353E-2"/>
          <c:w val="0.8984050517670531"/>
          <c:h val="0.89215686274509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D-456E-83FE-32A8A880D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524864"/>
        <c:axId val="367403776"/>
      </c:barChart>
      <c:catAx>
        <c:axId val="36752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403776"/>
        <c:crosses val="autoZero"/>
        <c:auto val="1"/>
        <c:lblAlgn val="ctr"/>
        <c:lblOffset val="100"/>
        <c:noMultiLvlLbl val="0"/>
      </c:catAx>
      <c:valAx>
        <c:axId val="36740377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752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219075</xdr:colOff>
      <xdr:row>55</xdr:row>
      <xdr:rowOff>171449</xdr:rowOff>
    </xdr:from>
    <xdr:to>
      <xdr:col>3</xdr:col>
      <xdr:colOff>549351</xdr:colOff>
      <xdr:row>59</xdr:row>
      <xdr:rowOff>161925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828675" y="9772649"/>
          <a:ext cx="1549476" cy="6762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5</xdr:row>
      <xdr:rowOff>304800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5</xdr:row>
      <xdr:rowOff>304800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390525</xdr:rowOff>
    </xdr:from>
    <xdr:to>
      <xdr:col>0</xdr:col>
      <xdr:colOff>1466850</xdr:colOff>
      <xdr:row>2</xdr:row>
      <xdr:rowOff>9525</xdr:rowOff>
    </xdr:to>
    <xdr:pic>
      <xdr:nvPicPr>
        <xdr:cNvPr id="2" name="Imagem 1" title="logo xbox">
          <a:extLst>
            <a:ext uri="{FF2B5EF4-FFF2-40B4-BE49-F238E27FC236}">
              <a16:creationId xmlns:a16="http://schemas.microsoft.com/office/drawing/2014/main" id="{DEBC3A07-1FD3-4082-9ECA-0CF7DD44E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81025"/>
          <a:ext cx="1200150" cy="361950"/>
        </a:xfrm>
        <a:prstGeom prst="rect">
          <a:avLst/>
        </a:prstGeom>
      </xdr:spPr>
    </xdr:pic>
    <xdr:clientData/>
  </xdr:twoCellAnchor>
  <xdr:twoCellAnchor>
    <xdr:from>
      <xdr:col>1</xdr:col>
      <xdr:colOff>1219200</xdr:colOff>
      <xdr:row>10</xdr:row>
      <xdr:rowOff>38100</xdr:rowOff>
    </xdr:from>
    <xdr:to>
      <xdr:col>6</xdr:col>
      <xdr:colOff>228600</xdr:colOff>
      <xdr:row>22</xdr:row>
      <xdr:rowOff>66675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959D1A1-7D89-4A33-8831-41E7702C4C5F}"/>
            </a:ext>
            <a:ext uri="{147F2762-F138-4A5C-976F-8EAC2B608ADB}">
              <a16:predDERef xmlns:a16="http://schemas.microsoft.com/office/drawing/2014/main" pred="{DEBC3A07-1FD3-4082-9ECA-0CF7DD44E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228600</xdr:colOff>
      <xdr:row>3</xdr:row>
      <xdr:rowOff>238125</xdr:rowOff>
    </xdr:from>
    <xdr:to>
      <xdr:col>0</xdr:col>
      <xdr:colOff>1866900</xdr:colOff>
      <xdr:row>13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D864E0A-533D-EA9A-433A-1FC054905C15}"/>
                </a:ext>
                <a:ext uri="{147F2762-F138-4A5C-976F-8EAC2B608ADB}">
                  <a16:predDERef xmlns:a16="http://schemas.microsoft.com/office/drawing/2014/main" pred="{6959D1A1-7D89-4A33-8831-41E7702C4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6" y="1690686"/>
              <a:ext cx="1754188" cy="2182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457200</xdr:colOff>
      <xdr:row>5</xdr:row>
      <xdr:rowOff>85725</xdr:rowOff>
    </xdr:from>
    <xdr:to>
      <xdr:col>2</xdr:col>
      <xdr:colOff>942975</xdr:colOff>
      <xdr:row>8</xdr:row>
      <xdr:rowOff>28575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7F0ADD6-B657-46F9-A860-789AB38A059F}"/>
            </a:ext>
            <a:ext uri="{147F2762-F138-4A5C-976F-8EAC2B608ADB}">
              <a16:predDERef xmlns:a16="http://schemas.microsoft.com/office/drawing/2014/main" pred="{6D864E0A-533D-EA9A-433A-1FC05490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1971675"/>
          <a:ext cx="981075" cy="885825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3</xdr:row>
      <xdr:rowOff>333375</xdr:rowOff>
    </xdr:from>
    <xdr:to>
      <xdr:col>3</xdr:col>
      <xdr:colOff>9525</xdr:colOff>
      <xdr:row>5</xdr:row>
      <xdr:rowOff>47625</xdr:rowOff>
    </xdr:to>
    <xdr:sp macro="" textlink="">
      <xdr:nvSpPr>
        <xdr:cNvPr id="8" name="Retângulo com Canto Redondo do Mesmo Lado 7">
          <a:extLst>
            <a:ext uri="{FF2B5EF4-FFF2-40B4-BE49-F238E27FC236}">
              <a16:creationId xmlns:a16="http://schemas.microsoft.com/office/drawing/2014/main" id="{E5AF18B1-8902-19FF-CF03-C34EB2C1C223}"/>
            </a:ext>
            <a:ext uri="{147F2762-F138-4A5C-976F-8EAC2B608ADB}">
              <a16:predDERef xmlns:a16="http://schemas.microsoft.com/office/drawing/2014/main" pred="{57F0ADD6-B657-46F9-A860-789AB38A059F}"/>
            </a:ext>
          </a:extLst>
        </xdr:cNvPr>
        <xdr:cNvSpPr/>
      </xdr:nvSpPr>
      <xdr:spPr>
        <a:xfrm>
          <a:off x="2581275" y="1485900"/>
          <a:ext cx="3181350" cy="46672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+mj-lt"/>
              <a:ea typeface="+mj-lt"/>
              <a:cs typeface="+mj-lt"/>
            </a:rPr>
            <a:t>Total  subscriptions EA Play Season Pass</a:t>
          </a:r>
        </a:p>
      </xdr:txBody>
    </xdr:sp>
    <xdr:clientData/>
  </xdr:twoCellAnchor>
  <xdr:twoCellAnchor>
    <xdr:from>
      <xdr:col>3</xdr:col>
      <xdr:colOff>504825</xdr:colOff>
      <xdr:row>3</xdr:row>
      <xdr:rowOff>314325</xdr:rowOff>
    </xdr:from>
    <xdr:to>
      <xdr:col>9</xdr:col>
      <xdr:colOff>38100</xdr:colOff>
      <xdr:row>5</xdr:row>
      <xdr:rowOff>9525</xdr:rowOff>
    </xdr:to>
    <xdr:sp macro="" textlink="">
      <xdr:nvSpPr>
        <xdr:cNvPr id="9" name="Retângulo com Canto Redondo do Mesmo Lado 8">
          <a:extLst>
            <a:ext uri="{FF2B5EF4-FFF2-40B4-BE49-F238E27FC236}">
              <a16:creationId xmlns:a16="http://schemas.microsoft.com/office/drawing/2014/main" id="{1E0F39CA-E63F-47CD-91E5-F31339B68AF0}"/>
            </a:ext>
            <a:ext uri="{147F2762-F138-4A5C-976F-8EAC2B608ADB}">
              <a16:predDERef xmlns:a16="http://schemas.microsoft.com/office/drawing/2014/main" pred="{E5AF18B1-8902-19FF-CF03-C34EB2C1C223}"/>
            </a:ext>
          </a:extLst>
        </xdr:cNvPr>
        <xdr:cNvSpPr/>
      </xdr:nvSpPr>
      <xdr:spPr>
        <a:xfrm>
          <a:off x="6257925" y="1466850"/>
          <a:ext cx="3152775" cy="4476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+mj-lt"/>
              <a:ea typeface="+mj-lt"/>
              <a:cs typeface="+mj-lt"/>
            </a:rPr>
            <a:t>Total  subscriptions EA Play Season Pass</a:t>
          </a:r>
        </a:p>
      </xdr:txBody>
    </xdr:sp>
    <xdr:clientData/>
  </xdr:twoCellAnchor>
  <xdr:twoCellAnchor>
    <xdr:from>
      <xdr:col>0</xdr:col>
      <xdr:colOff>171450</xdr:colOff>
      <xdr:row>0</xdr:row>
      <xdr:rowOff>123825</xdr:rowOff>
    </xdr:from>
    <xdr:to>
      <xdr:col>0</xdr:col>
      <xdr:colOff>866775</xdr:colOff>
      <xdr:row>1</xdr:row>
      <xdr:rowOff>57150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A590F48-26F0-4B10-A393-E11FDF07C373}"/>
            </a:ext>
            <a:ext uri="{147F2762-F138-4A5C-976F-8EAC2B608ADB}">
              <a16:predDERef xmlns:a16="http://schemas.microsoft.com/office/drawing/2014/main" pred="{1E0F39CA-E63F-47CD-91E5-F31339B68AF0}"/>
            </a:ext>
          </a:extLst>
        </xdr:cNvPr>
        <xdr:cNvSpPr/>
      </xdr:nvSpPr>
      <xdr:spPr>
        <a:xfrm>
          <a:off x="171450" y="123825"/>
          <a:ext cx="695325" cy="6191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60.943256134262" createdVersion="8" refreshedVersion="8" minRefreshableVersion="3" recordCount="295" xr:uid="{00000000-000A-0000-FFFF-FFFF000000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100372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bl_annual_total" cacheId="21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4">
  <location ref="B11:C14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8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bl_SeasonPass" cacheId="21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4">
  <location ref="B21:C25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0000000-0013-0000-FFFF-FFFF01000000}" sourceName="Subscription Type">
  <pivotTables>
    <pivotTable tabId="3" name="tbl_annual_total"/>
    <pivotTable tabId="3" name="tbl_SeasonPass"/>
  </pivotTables>
  <data>
    <tabular pivotCacheId="51003725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0000000-0014-0000-FFFF-FFFF01000000}" cache="SegmentaçãodeDados_Subscription_Type" caption="Subscription Typ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topLeftCell="A4" zoomScaleNormal="100" workbookViewId="0">
      <selection activeCell="H59" sqref="H59"/>
    </sheetView>
  </sheetViews>
  <sheetFormatPr defaultRowHeight="14.1"/>
  <cols>
    <col min="9" max="9" width="3.5703125" customWidth="1"/>
  </cols>
  <sheetData>
    <row r="3" spans="2:16" ht="19.5" thickBot="1">
      <c r="B3" s="1" t="s">
        <v>0</v>
      </c>
      <c r="C3" s="1"/>
      <c r="D3" s="1"/>
      <c r="E3" s="1"/>
      <c r="F3" s="1"/>
      <c r="G3" s="1"/>
      <c r="H3" s="1"/>
    </row>
    <row r="4" spans="2:16" ht="14.4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  <c r="E6" s="14"/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19.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topLeftCell="A159" zoomScale="90" zoomScaleNormal="90" workbookViewId="0"/>
  </sheetViews>
  <sheetFormatPr defaultRowHeight="14.1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7.9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4:C28"/>
  <sheetViews>
    <sheetView showGridLines="0" topLeftCell="A13" workbookViewId="0">
      <selection activeCell="C21" sqref="C21"/>
    </sheetView>
  </sheetViews>
  <sheetFormatPr defaultRowHeight="14.1"/>
  <cols>
    <col min="2" max="2" width="16" customWidth="1"/>
    <col min="3" max="3" width="31.42578125" customWidth="1"/>
    <col min="4" max="4" width="18.71093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 ht="42" customHeight="1">
      <c r="B4" s="20" t="s">
        <v>313</v>
      </c>
      <c r="C4" s="21"/>
    </row>
    <row r="6" spans="2:3" ht="42">
      <c r="B6" s="22" t="s">
        <v>314</v>
      </c>
    </row>
    <row r="7" spans="2:3">
      <c r="C7">
        <f>C̳álculos!C25</f>
        <v>600</v>
      </c>
    </row>
    <row r="9" spans="2:3">
      <c r="B9" s="12" t="s">
        <v>17</v>
      </c>
      <c r="C9" t="s">
        <v>31</v>
      </c>
    </row>
    <row r="11" spans="2:3">
      <c r="B11" s="12" t="s">
        <v>15</v>
      </c>
      <c r="C11" t="s">
        <v>315</v>
      </c>
    </row>
    <row r="12" spans="2:3">
      <c r="B12" t="s">
        <v>30</v>
      </c>
      <c r="C12" s="13">
        <v>217</v>
      </c>
    </row>
    <row r="13" spans="2:3">
      <c r="B13" t="s">
        <v>26</v>
      </c>
      <c r="C13" s="13">
        <v>1537</v>
      </c>
    </row>
    <row r="14" spans="2:3">
      <c r="B14" t="s">
        <v>316</v>
      </c>
      <c r="C14" s="13">
        <v>1754</v>
      </c>
    </row>
    <row r="17" spans="2:3">
      <c r="B17" t="s">
        <v>317</v>
      </c>
      <c r="C17" s="21"/>
    </row>
    <row r="19" spans="2:3">
      <c r="B19" s="12" t="s">
        <v>17</v>
      </c>
      <c r="C19" t="s">
        <v>31</v>
      </c>
    </row>
    <row r="21" spans="2:3">
      <c r="B21" s="12" t="s">
        <v>13</v>
      </c>
      <c r="C21" t="s">
        <v>318</v>
      </c>
    </row>
    <row r="22" spans="2:3">
      <c r="B22" t="s">
        <v>29</v>
      </c>
      <c r="C22" s="25">
        <v>0</v>
      </c>
    </row>
    <row r="23" spans="2:3">
      <c r="B23" t="s">
        <v>34</v>
      </c>
      <c r="C23" s="25">
        <v>0</v>
      </c>
    </row>
    <row r="24" spans="2:3">
      <c r="B24" t="s">
        <v>25</v>
      </c>
      <c r="C24" s="25">
        <v>600</v>
      </c>
    </row>
    <row r="25" spans="2:3">
      <c r="B25" t="s">
        <v>316</v>
      </c>
      <c r="C25" s="25">
        <v>600</v>
      </c>
    </row>
    <row r="28" spans="2:3">
      <c r="C28">
        <f>E25</f>
        <v>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8"/>
  <sheetViews>
    <sheetView showGridLines="0" tabSelected="1" zoomScale="80" zoomScaleNormal="80" workbookViewId="0"/>
  </sheetViews>
  <sheetFormatPr defaultRowHeight="14.1"/>
  <cols>
    <col min="1" max="1" width="31.5703125" style="16" customWidth="1"/>
    <col min="2" max="2" width="7.42578125" customWidth="1"/>
    <col min="3" max="3" width="47.28515625" customWidth="1"/>
    <col min="4" max="4" width="18.28515625" customWidth="1"/>
    <col min="5" max="5" width="1.140625" customWidth="1"/>
    <col min="6" max="6" width="7.140625" customWidth="1"/>
    <col min="7" max="7" width="6.140625" hidden="1" customWidth="1"/>
    <col min="8" max="8" width="12.42578125" customWidth="1"/>
    <col min="12" max="12" width="6.5703125" customWidth="1"/>
  </cols>
  <sheetData>
    <row r="1" spans="1:8" ht="54" customHeight="1"/>
    <row r="2" spans="1:8" ht="58.5" customHeight="1">
      <c r="C2" s="23" t="s">
        <v>319</v>
      </c>
      <c r="D2" s="23"/>
      <c r="E2" s="23"/>
      <c r="F2" s="23"/>
      <c r="G2" s="24"/>
    </row>
    <row r="3" spans="1:8" ht="18.75" customHeight="1">
      <c r="F3" s="19"/>
      <c r="G3" s="18"/>
    </row>
    <row r="4" spans="1:8" s="17" customFormat="1" ht="29.25" customHeight="1">
      <c r="A4" s="16"/>
    </row>
    <row r="5" spans="1:8" s="17" customFormat="1" ht="30" customHeight="1">
      <c r="A5" s="16"/>
      <c r="C5" s="4"/>
    </row>
    <row r="6" spans="1:8" s="17" customFormat="1" ht="27" customHeight="1">
      <c r="A6" s="16"/>
      <c r="C6" s="26"/>
      <c r="D6" s="28"/>
    </row>
    <row r="7" spans="1:8" s="17" customFormat="1" ht="27" customHeight="1">
      <c r="A7" s="16"/>
      <c r="C7" s="27">
        <f>C̳álculos!C25</f>
        <v>600</v>
      </c>
      <c r="H7" s="27">
        <f>C̳álculos!G25</f>
        <v>0</v>
      </c>
    </row>
    <row r="8" spans="1:8" s="17" customFormat="1" ht="20.25" customHeight="1">
      <c r="A8" s="16"/>
      <c r="C8" s="15"/>
    </row>
    <row r="9" spans="1:8" s="17" customFormat="1">
      <c r="A9" s="16"/>
    </row>
    <row r="10" spans="1:8" s="17" customFormat="1">
      <c r="A10" s="16"/>
    </row>
    <row r="11" spans="1:8" s="17" customFormat="1">
      <c r="A11" s="16"/>
    </row>
    <row r="12" spans="1:8" s="17" customFormat="1">
      <c r="A12" s="16"/>
    </row>
    <row r="13" spans="1:8" s="17" customFormat="1">
      <c r="A13" s="16"/>
    </row>
    <row r="14" spans="1:8" s="17" customFormat="1">
      <c r="A14" s="16"/>
    </row>
    <row r="15" spans="1:8" s="17" customFormat="1">
      <c r="A15" s="16"/>
    </row>
    <row r="16" spans="1:8" s="17" customFormat="1">
      <c r="A16" s="16"/>
    </row>
    <row r="17" spans="1:1" s="17" customFormat="1">
      <c r="A17" s="16"/>
    </row>
    <row r="18" spans="1:1" s="17" customFormat="1">
      <c r="A18" s="16"/>
    </row>
    <row r="19" spans="1:1" s="17" customFormat="1">
      <c r="A19" s="16"/>
    </row>
    <row r="20" spans="1:1" s="17" customFormat="1">
      <c r="A20" s="16"/>
    </row>
    <row r="21" spans="1:1" s="17" customFormat="1">
      <c r="A21" s="16"/>
    </row>
    <row r="22" spans="1:1" s="17" customFormat="1">
      <c r="A22" s="16"/>
    </row>
    <row r="23" spans="1:1" s="17" customFormat="1">
      <c r="A23" s="16"/>
    </row>
    <row r="24" spans="1:1" s="17" customFormat="1">
      <c r="A24" s="16"/>
    </row>
    <row r="25" spans="1:1" s="17" customFormat="1">
      <c r="A25" s="16"/>
    </row>
    <row r="26" spans="1:1" s="17" customFormat="1">
      <c r="A26" s="16"/>
    </row>
    <row r="27" spans="1:1" s="17" customFormat="1">
      <c r="A27" s="16"/>
    </row>
    <row r="28" spans="1:1" s="17" customFormat="1">
      <c r="A28" s="16"/>
    </row>
    <row r="29" spans="1:1" s="17" customFormat="1">
      <c r="A29" s="16"/>
    </row>
    <row r="30" spans="1:1" s="17" customFormat="1">
      <c r="A30" s="16"/>
    </row>
    <row r="31" spans="1:1" s="17" customFormat="1">
      <c r="A31" s="16"/>
    </row>
    <row r="32" spans="1:1" s="17" customFormat="1">
      <c r="A32" s="16"/>
    </row>
    <row r="33" spans="1:1" s="17" customFormat="1">
      <c r="A33" s="16"/>
    </row>
    <row r="34" spans="1:1" s="17" customFormat="1">
      <c r="A34" s="16"/>
    </row>
    <row r="35" spans="1:1" s="17" customFormat="1">
      <c r="A35" s="16"/>
    </row>
    <row r="36" spans="1:1" s="17" customFormat="1">
      <c r="A36" s="16"/>
    </row>
    <row r="37" spans="1:1" s="17" customFormat="1">
      <c r="A37" s="16"/>
    </row>
    <row r="38" spans="1:1" s="17" customFormat="1">
      <c r="A38" s="16"/>
    </row>
    <row r="39" spans="1:1" s="17" customFormat="1">
      <c r="A39" s="16"/>
    </row>
    <row r="40" spans="1:1" s="17" customFormat="1">
      <c r="A40" s="16"/>
    </row>
    <row r="41" spans="1:1" s="17" customFormat="1">
      <c r="A41" s="16"/>
    </row>
    <row r="42" spans="1:1" s="17" customFormat="1">
      <c r="A42" s="16"/>
    </row>
    <row r="43" spans="1:1" s="17" customFormat="1">
      <c r="A43" s="16"/>
    </row>
    <row r="44" spans="1:1" s="17" customFormat="1">
      <c r="A44" s="16"/>
    </row>
    <row r="45" spans="1:1" s="17" customFormat="1">
      <c r="A45" s="16"/>
    </row>
    <row r="46" spans="1:1" s="17" customFormat="1">
      <c r="A46" s="16"/>
    </row>
    <row r="47" spans="1:1" s="17" customFormat="1">
      <c r="A47" s="16"/>
    </row>
    <row r="48" spans="1:1" s="17" customFormat="1">
      <c r="A48" s="16"/>
    </row>
    <row r="49" spans="1:1" s="17" customFormat="1">
      <c r="A49" s="16"/>
    </row>
    <row r="50" spans="1:1" s="17" customFormat="1">
      <c r="A50" s="16"/>
    </row>
    <row r="51" spans="1:1" s="17" customFormat="1">
      <c r="A51" s="16"/>
    </row>
    <row r="52" spans="1:1" s="17" customFormat="1">
      <c r="A52" s="16"/>
    </row>
    <row r="53" spans="1:1" s="17" customFormat="1">
      <c r="A53" s="16"/>
    </row>
    <row r="54" spans="1:1" s="17" customFormat="1">
      <c r="A54" s="16"/>
    </row>
    <row r="55" spans="1:1" s="17" customFormat="1">
      <c r="A55" s="16"/>
    </row>
    <row r="56" spans="1:1" s="17" customFormat="1">
      <c r="A56" s="16"/>
    </row>
    <row r="57" spans="1:1" s="17" customFormat="1">
      <c r="A57" s="16"/>
    </row>
    <row r="58" spans="1:1" s="17" customFormat="1">
      <c r="A58" s="16"/>
    </row>
    <row r="59" spans="1:1" s="17" customFormat="1">
      <c r="A59" s="16"/>
    </row>
    <row r="60" spans="1:1" s="17" customFormat="1">
      <c r="A60" s="16"/>
    </row>
    <row r="61" spans="1:1" s="17" customFormat="1">
      <c r="A61" s="16"/>
    </row>
    <row r="62" spans="1:1" s="17" customFormat="1">
      <c r="A62" s="16"/>
    </row>
    <row r="63" spans="1:1" s="17" customFormat="1">
      <c r="A63" s="16"/>
    </row>
    <row r="64" spans="1:1" s="17" customFormat="1">
      <c r="A64" s="16"/>
    </row>
    <row r="65" spans="1:1" s="17" customFormat="1">
      <c r="A65" s="16"/>
    </row>
    <row r="66" spans="1:1" s="17" customFormat="1">
      <c r="A66" s="16"/>
    </row>
    <row r="67" spans="1:1" s="17" customFormat="1">
      <c r="A67" s="16"/>
    </row>
    <row r="68" spans="1:1" s="17" customFormat="1">
      <c r="A68" s="16"/>
    </row>
    <row r="69" spans="1:1" s="17" customFormat="1">
      <c r="A69" s="16"/>
    </row>
    <row r="70" spans="1:1" s="17" customFormat="1">
      <c r="A70" s="16"/>
    </row>
    <row r="71" spans="1:1" s="17" customFormat="1">
      <c r="A71" s="16"/>
    </row>
    <row r="72" spans="1:1" s="17" customFormat="1">
      <c r="A72" s="16"/>
    </row>
    <row r="73" spans="1:1" s="17" customFormat="1">
      <c r="A73" s="16"/>
    </row>
    <row r="74" spans="1:1" s="17" customFormat="1">
      <c r="A74" s="16"/>
    </row>
    <row r="75" spans="1:1" s="17" customFormat="1">
      <c r="A75" s="16"/>
    </row>
    <row r="76" spans="1:1" s="17" customFormat="1">
      <c r="A76" s="16"/>
    </row>
    <row r="77" spans="1:1" s="17" customFormat="1">
      <c r="A77" s="16"/>
    </row>
    <row r="78" spans="1:1" s="17" customFormat="1">
      <c r="A78" s="16"/>
    </row>
    <row r="79" spans="1:1" s="17" customFormat="1">
      <c r="A79" s="16"/>
    </row>
    <row r="80" spans="1:1" s="17" customFormat="1">
      <c r="A80" s="16"/>
    </row>
    <row r="81" spans="1:1" s="17" customFormat="1">
      <c r="A81" s="16"/>
    </row>
    <row r="82" spans="1:1" s="17" customFormat="1">
      <c r="A82" s="16"/>
    </row>
    <row r="83" spans="1:1" s="17" customFormat="1">
      <c r="A83" s="16"/>
    </row>
    <row r="84" spans="1:1" s="17" customFormat="1">
      <c r="A84" s="16"/>
    </row>
    <row r="85" spans="1:1" s="17" customFormat="1">
      <c r="A85" s="16"/>
    </row>
    <row r="86" spans="1:1" s="17" customFormat="1">
      <c r="A86" s="16"/>
    </row>
    <row r="87" spans="1:1" s="17" customFormat="1">
      <c r="A87" s="16"/>
    </row>
    <row r="88" spans="1:1" s="17" customFormat="1">
      <c r="A88" s="16"/>
    </row>
    <row r="89" spans="1:1" s="17" customFormat="1">
      <c r="A89" s="16"/>
    </row>
    <row r="90" spans="1:1" s="17" customFormat="1">
      <c r="A90" s="16"/>
    </row>
    <row r="91" spans="1:1" s="17" customFormat="1">
      <c r="A91" s="16"/>
    </row>
    <row r="92" spans="1:1" s="17" customFormat="1">
      <c r="A92" s="16"/>
    </row>
    <row r="93" spans="1:1" s="17" customFormat="1">
      <c r="A93" s="16"/>
    </row>
    <row r="94" spans="1:1" s="17" customFormat="1">
      <c r="A94" s="16"/>
    </row>
    <row r="95" spans="1:1" s="17" customFormat="1">
      <c r="A95" s="16"/>
    </row>
    <row r="96" spans="1:1" s="17" customFormat="1">
      <c r="A96" s="16"/>
    </row>
    <row r="97" spans="1:2" s="17" customFormat="1">
      <c r="A97" s="16"/>
    </row>
    <row r="98" spans="1:2" s="17" customFormat="1">
      <c r="A98" s="16"/>
    </row>
    <row r="99" spans="1:2" s="17" customFormat="1">
      <c r="A99" s="16"/>
    </row>
    <row r="100" spans="1:2" s="17" customFormat="1">
      <c r="A100" s="16"/>
    </row>
    <row r="101" spans="1:2" s="17" customFormat="1">
      <c r="A101" s="16"/>
    </row>
    <row r="102" spans="1:2" s="17" customFormat="1">
      <c r="A102" s="16"/>
    </row>
    <row r="103" spans="1:2" s="17" customFormat="1">
      <c r="A103" s="16"/>
    </row>
    <row r="104" spans="1:2" s="17" customFormat="1">
      <c r="A104" s="16"/>
    </row>
    <row r="105" spans="1:2" s="17" customFormat="1">
      <c r="A105" s="16"/>
    </row>
    <row r="106" spans="1:2" s="17" customFormat="1">
      <c r="A106" s="16"/>
    </row>
    <row r="107" spans="1:2" s="17" customFormat="1">
      <c r="A107" s="16"/>
    </row>
    <row r="108" spans="1:2">
      <c r="A108" s="15"/>
      <c r="B108" s="15"/>
    </row>
    <row r="109" spans="1:2">
      <c r="A109" s="15"/>
      <c r="B109" s="15"/>
    </row>
    <row r="110" spans="1:2">
      <c r="A110" s="15"/>
      <c r="B110" s="15"/>
    </row>
    <row r="111" spans="1:2">
      <c r="A111" s="15"/>
      <c r="B111" s="15"/>
    </row>
    <row r="112" spans="1:2">
      <c r="A112" s="15"/>
      <c r="B112" s="15"/>
    </row>
    <row r="113" spans="1:2">
      <c r="A113" s="15"/>
      <c r="B113" s="15"/>
    </row>
    <row r="114" spans="1:2">
      <c r="A114" s="15"/>
      <c r="B114" s="15"/>
    </row>
    <row r="115" spans="1:2">
      <c r="A115" s="15"/>
      <c r="B115" s="15"/>
    </row>
    <row r="116" spans="1:2">
      <c r="A116" s="15"/>
      <c r="B116" s="15"/>
    </row>
    <row r="117" spans="1:2">
      <c r="A117" s="15"/>
      <c r="B117" s="15"/>
    </row>
    <row r="118" spans="1:2">
      <c r="A118" s="15"/>
      <c r="B118" s="15"/>
    </row>
    <row r="119" spans="1:2">
      <c r="A119" s="15"/>
      <c r="B119" s="15"/>
    </row>
    <row r="120" spans="1:2">
      <c r="A120" s="15"/>
      <c r="B120" s="15"/>
    </row>
    <row r="121" spans="1:2">
      <c r="A121" s="15"/>
      <c r="B121" s="15"/>
    </row>
    <row r="122" spans="1:2">
      <c r="A122" s="15"/>
      <c r="B122" s="15"/>
    </row>
    <row r="123" spans="1:2">
      <c r="A123" s="15"/>
      <c r="B123" s="15"/>
    </row>
    <row r="124" spans="1:2">
      <c r="A124" s="15"/>
      <c r="B124" s="15"/>
    </row>
    <row r="125" spans="1:2">
      <c r="A125" s="15"/>
      <c r="B125" s="15"/>
    </row>
    <row r="126" spans="1:2">
      <c r="A126" s="15"/>
      <c r="B126" s="15"/>
    </row>
    <row r="127" spans="1:2">
      <c r="A127" s="15"/>
      <c r="B127" s="15"/>
    </row>
    <row r="128" spans="1:2">
      <c r="A128" s="15"/>
      <c r="B128" s="15"/>
    </row>
    <row r="129" spans="1:2">
      <c r="A129" s="15"/>
      <c r="B129" s="15"/>
    </row>
    <row r="130" spans="1:2">
      <c r="A130" s="15"/>
      <c r="B130" s="15"/>
    </row>
    <row r="131" spans="1:2">
      <c r="A131" s="15"/>
      <c r="B131" s="15"/>
    </row>
    <row r="132" spans="1:2">
      <c r="A132" s="15"/>
      <c r="B132" s="15"/>
    </row>
    <row r="133" spans="1:2">
      <c r="A133" s="15"/>
      <c r="B133" s="15"/>
    </row>
    <row r="134" spans="1:2">
      <c r="A134" s="15"/>
      <c r="B134" s="15"/>
    </row>
    <row r="135" spans="1:2">
      <c r="A135" s="15"/>
      <c r="B135" s="15"/>
    </row>
    <row r="136" spans="1:2">
      <c r="A136" s="15"/>
      <c r="B136" s="15"/>
    </row>
    <row r="137" spans="1:2">
      <c r="A137" s="15"/>
      <c r="B137" s="15"/>
    </row>
    <row r="138" spans="1:2">
      <c r="A138" s="15"/>
      <c r="B138" s="15"/>
    </row>
    <row r="139" spans="1:2">
      <c r="A139" s="15"/>
      <c r="B139" s="15"/>
    </row>
    <row r="140" spans="1:2">
      <c r="A140" s="15"/>
      <c r="B140" s="15"/>
    </row>
    <row r="141" spans="1:2">
      <c r="A141" s="15"/>
      <c r="B141" s="15"/>
    </row>
    <row r="142" spans="1:2">
      <c r="A142" s="15"/>
      <c r="B142" s="15"/>
    </row>
    <row r="143" spans="1:2">
      <c r="A143" s="15"/>
      <c r="B143" s="15"/>
    </row>
    <row r="144" spans="1:2">
      <c r="A144" s="15"/>
      <c r="B144" s="15"/>
    </row>
    <row r="145" spans="1:2">
      <c r="A145" s="15"/>
      <c r="B145" s="15"/>
    </row>
    <row r="146" spans="1:2">
      <c r="A146" s="15"/>
      <c r="B146" s="15"/>
    </row>
    <row r="147" spans="1:2">
      <c r="A147" s="15"/>
      <c r="B147" s="15"/>
    </row>
    <row r="148" spans="1:2">
      <c r="A148" s="15"/>
      <c r="B148" s="15"/>
    </row>
    <row r="149" spans="1:2">
      <c r="A149" s="15"/>
      <c r="B149" s="15"/>
    </row>
    <row r="150" spans="1:2">
      <c r="A150" s="15"/>
      <c r="B150" s="15"/>
    </row>
    <row r="151" spans="1:2">
      <c r="A151" s="15"/>
      <c r="B151" s="15"/>
    </row>
    <row r="152" spans="1:2">
      <c r="A152" s="15"/>
      <c r="B152" s="15"/>
    </row>
    <row r="153" spans="1:2">
      <c r="A153" s="15"/>
      <c r="B153" s="15"/>
    </row>
    <row r="154" spans="1:2">
      <c r="A154" s="15"/>
      <c r="B154" s="15"/>
    </row>
    <row r="155" spans="1:2">
      <c r="A155" s="15"/>
      <c r="B155" s="15"/>
    </row>
    <row r="156" spans="1:2">
      <c r="A156" s="15"/>
      <c r="B156" s="15"/>
    </row>
    <row r="157" spans="1:2">
      <c r="A157" s="15"/>
      <c r="B157" s="15"/>
    </row>
    <row r="158" spans="1:2">
      <c r="A158" s="15"/>
      <c r="B158" s="15"/>
    </row>
    <row r="159" spans="1:2">
      <c r="A159" s="15"/>
      <c r="B159" s="15"/>
    </row>
    <row r="160" spans="1:2">
      <c r="A160" s="15"/>
      <c r="B160" s="15"/>
    </row>
    <row r="161" spans="1:2">
      <c r="A161" s="15"/>
      <c r="B161" s="15"/>
    </row>
    <row r="162" spans="1:2">
      <c r="A162" s="15"/>
      <c r="B162" s="15"/>
    </row>
    <row r="163" spans="1:2">
      <c r="A163" s="15"/>
      <c r="B163" s="15"/>
    </row>
    <row r="164" spans="1:2">
      <c r="A164" s="15"/>
      <c r="B164" s="15"/>
    </row>
    <row r="165" spans="1:2">
      <c r="A165" s="15"/>
      <c r="B165" s="15"/>
    </row>
    <row r="166" spans="1:2">
      <c r="A166" s="15"/>
      <c r="B166" s="15"/>
    </row>
    <row r="167" spans="1:2">
      <c r="A167" s="15"/>
      <c r="B167" s="15"/>
    </row>
    <row r="168" spans="1:2">
      <c r="A168" s="15"/>
      <c r="B168" s="15"/>
    </row>
  </sheetData>
  <mergeCells count="1">
    <mergeCell ref="C2:G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2025-04-14T02:48:42Z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