
<file path=[Content_Types].xml><?xml version="1.0" encoding="utf-8"?>
<Types xmlns="http://schemas.openxmlformats.org/package/2006/content-types"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/>
  <bookViews>
    <workbookView xWindow="-120" yWindow="-120" windowWidth="19420" windowHeight="11020" activeTab="3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45621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C8" i="4"/>
</calcChain>
</file>

<file path=xl/sharedStrings.xml><?xml version="1.0" encoding="utf-8"?>
<sst xmlns="http://schemas.openxmlformats.org/spreadsheetml/2006/main" count="2027" uniqueCount="324">
  <si>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</si>
  <si>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</si>
  <si>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</si>
  <si>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</si>
  <si>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</si>
  <si>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</si>
  <si>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</si>
  <si>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</si>
  <si>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</si>
  <si>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</si>
  <si>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</si>
  <si>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</si>
  <si>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</si>
  <si>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</si>
  <si>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</si>
  <si>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</si>
  <si>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</si>
  <si>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</si>
  <si>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</si>
  <si>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</si>
  <si>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</si>
  <si>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</si>
  <si>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</si>
  <si>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</si>
  <si>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</si>
  <si>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</si>
  <si>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</si>
  <si>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</si>
  <si>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</si>
  <si>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</si>
  <si>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</si>
  <si>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</si>
  <si>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</si>
  <si>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</si>
  <si>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</si>
  <si>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</si>
  <si>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</si>
  <si>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</si>
  <si>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</si>
  <si>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</si>
  <si>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</si>
  <si>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</si>
  <si>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</si>
  <si>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</si>
  <si>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</si>
  <si>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</si>
  <si>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</si>
  <si>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</si>
  <si>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</si>
  <si>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</si>
  <si>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</si>
  <si>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</si>
  <si>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</si>
  <si>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</si>
  <si>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</si>
  <si>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</si>
  <si>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</si>
  <si>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</si>
  <si>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</si>
  <si>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</si>
  <si>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</si>
  <si>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</si>
  <si>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</si>
  <si>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</si>
  <si>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</si>
  <si>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</si>
  <si>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</si>
  <si>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</si>
  <si>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</si>
  <si>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</si>
  <si>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</si>
  <si>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</si>
  <si>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</si>
  <si>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</si>
  <si>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</si>
  <si>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</si>
  <si>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</si>
  <si>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</si>
  <si>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</si>
  <si>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</si>
  <si>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</si>
  <si>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</si>
  <si>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</si>
  <si>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</si>
  <si>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</si>
  <si>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</si>
  <si>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</si>
  <si>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</si>
  <si>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</si>
  <si>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</si>
  <si>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</si>
  <si>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</si>
  <si>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</si>
  <si>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</si>
  <si>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</si>
  <si>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</si>
  <si>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</si>
  <si>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</si>
  <si>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</si>
  <si>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</si>
  <si>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</si>
  <si>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</si>
  <si>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</si>
  <si>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</si>
  <si>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</si>
  <si>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</si>
  <si>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</si>
  <si>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</si>
  <si>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</si>
  <si>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</si>
  <si>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</si>
  <si>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</si>
  <si>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</si>
  <si>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</si>
  <si>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</si>
  <si>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</si>
  <si>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</si>
  <si>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</si>
  <si>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</si>
  <si>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</si>
  <si>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</si>
  <si>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</si>
  <si>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</si>
  <si>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</si>
  <si>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</si>
  <si>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</si>
  <si>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</si>
  <si>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</si>
  <si>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</si>
  <si>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</si>
  <si>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</si>
  <si>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</si>
  <si>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</si>
  <si>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</si>
  <si>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</si>
  <si>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</si>
  <si>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</si>
  <si>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</si>
  <si>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</si>
  <si>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</si>
  <si>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</si>
  <si>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</si>
  <si>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</si>
  <si>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</si>
  <si>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</si>
  <si>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</si>
  <si>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</si>
  <si>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</si>
  <si>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</si>
  <si>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</si>
  <si>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</si>
  <si>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</si>
  <si>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</si>
  <si>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</si>
  <si>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</si>
  <si>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</si>
  <si>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</si>
  <si>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</si>
  <si>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</si>
  <si>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</si>
  <si>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</si>
  <si>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</si>
  <si>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</si>
  <si>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</si>
  <si>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</si>
  <si>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</si>
  <si>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</si>
  <si>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</si>
  <si>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</si>
  <si>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</si>
  <si>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</si>
  <si>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</si>
  <si>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</si>
  <si>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</si>
  <si>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</si>
  <si>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</si>
  <si>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</si>
  <si>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</si>
  <si>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</si>
  <si>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</si>
  <si>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</si>
  <si>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</si>
  <si>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</si>
  <si>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</si>
  <si>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</si>
  <si>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</si>
  <si>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</si>
  <si>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</si>
  <si>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</si>
  <si>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</si>
  <si>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</si>
  <si>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</si>
  <si>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</si>
  <si>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</si>
  <si>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</si>
  <si>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</si>
  <si>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</si>
  <si>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</si>
  <si>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</si>
  <si>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</si>
  <si>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</si>
  <si>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</si>
  <si>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</si>
  <si>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</si>
  <si>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</si>
  <si>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</si>
  <si>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</si>
  <si>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</si>
  <si>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</si>
  <si>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</si>
  <si>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</si>
  <si>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</si>
  <si>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</si>
  <si>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</si>
  <si>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</si>
  <si>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</si>
  <si>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</si>
  <si>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</si>
  <si>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</si>
  <si>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</si>
  <si>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</si>
  <si>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</si>
  <si>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</si>
  <si>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</si>
  <si>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</si>
  <si>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</si>
  <si>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</si>
  <si>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</si>
  <si>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</si>
  <si>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</si>
  <si>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</si>
  <si>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</si>
  <si>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</si>
  <si>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</si>
  <si>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</si>
  <si>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</si>
  <si>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</si>
  <si>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</si>
  <si>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</si>
  <si>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</si>
  <si>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</si>
  <si>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</si>
  <si>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</si>
  <si>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</si>
  <si>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</si>
  <si>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</si>
  <si>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</si>
  <si>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</si>
  <si>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</si>
  <si>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</si>
  <si>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</si>
  <si>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</si>
  <si>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</si>
  <si>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</si>
  <si>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</si>
  <si>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</si>
  <si>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</si>
  <si>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</si>
  <si>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</si>
  <si>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</si>
  <si>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</si>
  <si>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</si>
  <si>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</si>
  <si>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</si>
  <si>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</si>
  <si>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</si>
  <si>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</si>
  <si>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</si>
  <si>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</si>
  <si>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</si>
  <si>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</si>
  <si>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</si>
  <si>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</si>
  <si>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</si>
  <si>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</si>
  <si>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</si>
  <si>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</si>
  <si>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</si>
  <si>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</si>
  <si>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</si>
  <si>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</si>
  <si>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</si>
  <si>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</si>
  <si>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</si>
  <si>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</si>
  <si>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</si>
  <si>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</si>
  <si>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</si>
  <si>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</si>
  <si>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</si>
  <si>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</si>
  <si>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</si>
  <si>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</si>
  <si>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</si>
  <si>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</si>
  <si>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</si>
  <si>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</si>
  <si>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</si>
  <si>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</si>
  <si>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</si>
  <si>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</si>
  <si>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</si>
  <si>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</si>
  <si>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</si>
  <si>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</si>
  <si>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</si>
  <si>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</si>
  <si>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</si>
  <si>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</si>
  <si>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</si>
  <si>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</si>
  <si>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</si>
  <si>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</si>
  <si>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r>
      <rPr>
        <sz val="11"/>
        <color rgb="FF000000"/>
        <rFont val="Aptos Narrow"/>
      </rPr>
      <t xml:space="preserve">Pergunta de negócio 1 - Qual faturamento </t>
    </r>
    <r>
      <rPr>
        <b/>
        <sz val="11"/>
        <color rgb="FF000000"/>
        <rFont val="Aptos Narrow"/>
      </rPr>
      <t>Total de vendas</t>
    </r>
    <r>
      <rPr>
        <sz val="11"/>
        <color rgb="FF000000"/>
        <rFont val="Aptos Narrow"/>
      </rPr>
      <t xml:space="preserve"> de </t>
    </r>
    <r>
      <rPr>
        <b/>
        <sz val="11"/>
        <color rgb="FF000000"/>
        <rFont val="Aptos Narrow"/>
      </rPr>
      <t xml:space="preserve">planos anuais </t>
    </r>
    <r>
      <rPr>
        <sz val="11"/>
        <color rgb="FF000000"/>
        <rFont val="Aptos Narrow"/>
      </rPr>
      <t>(contendo todas as assinaturas agregadas)</t>
    </r>
  </si>
  <si>
    <r>
      <t xml:space="preserve">Pergunta de negócio 2 - Qual faturamento </t>
    </r>
    <r>
      <rPr>
        <b/>
        <sz val="11"/>
        <color rgb="FF242424"/>
        <rFont val="Aptos Narrow"/>
      </rPr>
      <t xml:space="preserve">Total de vendas </t>
    </r>
    <r>
      <rPr>
        <sz val="11"/>
        <color rgb="FF242424"/>
        <rFont val="Aptos Narrow"/>
      </rPr>
      <t xml:space="preserve">de planos anuais, </t>
    </r>
    <r>
      <rPr>
        <b/>
        <sz val="11"/>
        <color rgb="FF242424"/>
        <rFont val="Aptos Narrow"/>
      </rPr>
      <t>separado por auto renovação e não auto renovação</t>
    </r>
  </si>
  <si>
    <t>Soma de Total Value</t>
  </si>
  <si>
    <t>Total Geral</t>
  </si>
  <si>
    <t>Soma de EA Play Season PassPrice</t>
  </si>
  <si>
    <t>Pergunta de negócio 3 :  Total de vendas de assinaturas do EA Play</t>
  </si>
  <si>
    <t>Soma de Minecraft Season Pass Price</t>
  </si>
  <si>
    <t>Core Total</t>
  </si>
  <si>
    <t>Standard Total</t>
  </si>
  <si>
    <t>Ultimate Total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</si>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</sst>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14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  <font>
      <sz val="11"/>
      <color rgb="FF242424"/>
      <name val="Aptos Narrow"/>
    </font>
    <font>
      <b/>
      <sz val="11"/>
      <color rgb="FF242424"/>
      <name val="Aptos Narrow"/>
    </font>
    <font>
      <sz val="18"/>
      <color theme="3"/>
      <name val="Aptos Display"/>
      <scheme val="major"/>
    </font>
    <font>
      <sz val="11"/>
      <color theme="0"/>
      <name val="Aptos Narrow"/>
      <family val="2"/>
      <scheme val="minor"/>
    </font>
    <font>
      <sz val="20"/>
      <color rgb="FF22C55E"/>
      <name val="Aptos Narrow"/>
      <family val="2"/>
      <scheme val="minor"/>
    </font>
    <font>
      <b/>
      <sz val="18"/>
      <color rgb="FF22C55E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20"/>
      <color theme="3"/>
      <name val="Aptos Display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0" borderId="0" xfId="0" applyBorder="1"/>
    <xf numFmtId="0" fontId="9" fillId="0" borderId="0" xfId="0" applyFont="1"/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top" wrapText="1"/>
    </xf>
    <xf numFmtId="0" fontId="0" fillId="0" borderId="0" xfId="0" applyNumberFormat="1"/>
    <xf numFmtId="0" fontId="0" fillId="11" borderId="0" xfId="0" applyFill="1" applyBorder="1"/>
    <xf numFmtId="0" fontId="0" fillId="11" borderId="0" xfId="0" applyFill="1" applyAlignment="1">
      <alignment horizontal="left"/>
    </xf>
    <xf numFmtId="164" fontId="11" fillId="9" borderId="0" xfId="0" applyNumberFormat="1" applyFont="1" applyFill="1" applyAlignment="1">
      <alignment horizontal="center" vertical="center"/>
    </xf>
    <xf numFmtId="0" fontId="12" fillId="0" borderId="0" xfId="0" applyFont="1"/>
    <xf numFmtId="164" fontId="10" fillId="11" borderId="0" xfId="0" applyNumberFormat="1" applyFont="1" applyFill="1" applyAlignment="1">
      <alignment horizontal="center" vertical="center"/>
    </xf>
    <xf numFmtId="0" fontId="0" fillId="11" borderId="0" xfId="0" applyFill="1" applyAlignment="1">
      <alignment wrapText="1"/>
    </xf>
    <xf numFmtId="0" fontId="0" fillId="0" borderId="0" xfId="0" applyAlignment="1">
      <alignment wrapText="1"/>
    </xf>
    <xf numFmtId="164" fontId="11" fillId="0" borderId="0" xfId="0" applyNumberFormat="1" applyFont="1" applyFill="1" applyAlignment="1">
      <alignment horizontal="center" vertical="center"/>
    </xf>
    <xf numFmtId="0" fontId="13" fillId="0" borderId="2" xfId="3" applyFont="1" applyFill="1" applyBorder="1" applyAlignment="1">
      <alignment horizontal="left" wrapText="1"/>
    </xf>
    <xf numFmtId="0" fontId="13" fillId="0" borderId="0" xfId="3" applyFont="1" applyFill="1" applyBorder="1" applyAlignment="1">
      <alignment horizontal="left" wrapText="1"/>
    </xf>
  </cellXfs>
  <cellStyles count="4">
    <cellStyle name="Moeda" xfId="2" builtinId="4"/>
    <cellStyle name="Normal" xfId="0" builtinId="0"/>
    <cellStyle name="Título" xfId="3" builtinId="15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FFFFFF"/>
      <color rgb="FF2AE6B1"/>
      <color rgb="FF156082"/>
      <color rgb="FFE8E6E9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[dashboard-xbox.xlsx]C̳álculos!tbl_annual_total</c:name>
    <c:fmtId val="41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</c:pivotFmt>
      <c:pivotFmt>
        <c:idx val="7"/>
      </c:pivotFmt>
      <c:pivotFmt>
        <c:idx val="8"/>
      </c:pivotFmt>
    </c:pivotFmts>
    <c:plotArea>
      <c:layout>
        <c:manualLayout>
          <c:layoutTarget val="inner"/>
          <c:xMode val="edge"/>
          <c:yMode val="edge"/>
          <c:x val="7.4534677630240867E-2"/>
          <c:y val="2.9411764705882353E-2"/>
          <c:w val="0.8984050517670531"/>
          <c:h val="0.892156862745098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2824</c:v>
                </c:pt>
                <c:pt idx="1">
                  <c:v>747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CD-456E-83FE-32A8A880D7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6314752"/>
        <c:axId val="256332928"/>
      </c:barChart>
      <c:catAx>
        <c:axId val="25631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56332928"/>
        <c:crosses val="autoZero"/>
        <c:auto val="1"/>
        <c:lblAlgn val="ctr"/>
        <c:lblOffset val="100"/>
        <c:noMultiLvlLbl val="0"/>
      </c:catAx>
      <c:valAx>
        <c:axId val="25633292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256314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47625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95250</xdr:colOff>
      <xdr:row>23</xdr:row>
      <xdr:rowOff>104774</xdr:rowOff>
    </xdr:from>
    <xdr:to>
      <xdr:col>6</xdr:col>
      <xdr:colOff>425526</xdr:colOff>
      <xdr:row>27</xdr:row>
      <xdr:rowOff>76200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  <a:ext uri="{147F2762-F138-4A5C-976F-8EAC2B608ADB}">
              <a16:predDERef xmlns:a16="http://schemas.microsoft.com/office/drawing/2014/main" xmlns="" pred="{34E653DD-5BBB-B7D9-BDBD-2F59393458E2}"/>
            </a:ext>
          </a:extLst>
        </xdr:cNvPr>
        <xdr:cNvGrpSpPr/>
      </xdr:nvGrpSpPr>
      <xdr:grpSpPr>
        <a:xfrm>
          <a:off x="2533650" y="4219574"/>
          <a:ext cx="1549476" cy="6762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5</xdr:row>
      <xdr:rowOff>304800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5</xdr:row>
      <xdr:rowOff>304800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3</xdr:row>
      <xdr:rowOff>47625</xdr:rowOff>
    </xdr:from>
    <xdr:to>
      <xdr:col>0</xdr:col>
      <xdr:colOff>1685925</xdr:colOff>
      <xdr:row>5</xdr:row>
      <xdr:rowOff>19050</xdr:rowOff>
    </xdr:to>
    <xdr:pic>
      <xdr:nvPicPr>
        <xdr:cNvPr id="2" name="Imagem 1" title="logo xbox">
          <a:extLst>
            <a:ext uri="{FF2B5EF4-FFF2-40B4-BE49-F238E27FC236}">
              <a16:creationId xmlns:a16="http://schemas.microsoft.com/office/drawing/2014/main" xmlns="" id="{DEBC3A07-1FD3-4082-9ECA-0CF7DD44E311}"/>
            </a:ext>
            <a:ext uri="{147F2762-F138-4A5C-976F-8EAC2B608ADB}">
              <a16:predDERef xmlns:a16="http://schemas.microsoft.com/office/drawing/2014/main" xmlns="" pred="{23B264BB-D6B4-FAB7-D4F8-7DD220FB2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1438275"/>
          <a:ext cx="1428750" cy="428625"/>
        </a:xfrm>
        <a:prstGeom prst="rect">
          <a:avLst/>
        </a:prstGeom>
      </xdr:spPr>
    </xdr:pic>
    <xdr:clientData/>
  </xdr:twoCellAnchor>
  <xdr:twoCellAnchor>
    <xdr:from>
      <xdr:col>1</xdr:col>
      <xdr:colOff>619125</xdr:colOff>
      <xdr:row>8</xdr:row>
      <xdr:rowOff>361950</xdr:rowOff>
    </xdr:from>
    <xdr:to>
      <xdr:col>4</xdr:col>
      <xdr:colOff>2095500</xdr:colOff>
      <xdr:row>21</xdr:row>
      <xdr:rowOff>123825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xmlns="" id="{6959D1A1-7D89-4A33-8831-41E7702C4C5F}"/>
            </a:ext>
            <a:ext uri="{147F2762-F138-4A5C-976F-8EAC2B608ADB}">
              <a16:predDERef xmlns:a16="http://schemas.microsoft.com/office/drawing/2014/main" xmlns="" pred="{DEBC3A07-1FD3-4082-9ECA-0CF7DD44E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304800</xdr:colOff>
      <xdr:row>5</xdr:row>
      <xdr:rowOff>276225</xdr:rowOff>
    </xdr:from>
    <xdr:to>
      <xdr:col>0</xdr:col>
      <xdr:colOff>1943100</xdr:colOff>
      <xdr:row>9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xmlns="" id="{6D864E0A-533D-EA9A-433A-1FC054905C15}"/>
                </a:ext>
                <a:ext uri="{147F2762-F138-4A5C-976F-8EAC2B608ADB}">
                  <a16:predDERef xmlns:a16="http://schemas.microsoft.com/office/drawing/2014/main" xmlns="" pred="{6959D1A1-7D89-4A33-8831-41E7702C4C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8126" y="1690686"/>
              <a:ext cx="1754188" cy="21828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slicer. Os slicers podem ser usados, no mínimo, no Excel 2010.
Caso a forma tenha sido modificada em uma versão anterior do Excel, ou a pasta de trabalho tenha sido salva no Excel 2003 ou
anterior, o slicer não poderá ser usado.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209550</xdr:colOff>
      <xdr:row>7</xdr:row>
      <xdr:rowOff>171450</xdr:rowOff>
    </xdr:from>
    <xdr:to>
      <xdr:col>2</xdr:col>
      <xdr:colOff>1114425</xdr:colOff>
      <xdr:row>7</xdr:row>
      <xdr:rowOff>981075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57F0ADD6-B657-46F9-A860-789AB38A059F}"/>
            </a:ext>
            <a:ext uri="{147F2762-F138-4A5C-976F-8EAC2B608ADB}">
              <a16:predDERef xmlns:a16="http://schemas.microsoft.com/office/drawing/2014/main" xmlns="" pred="{6D864E0A-533D-EA9A-433A-1FC054905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9900" y="3419475"/>
          <a:ext cx="904875" cy="809625"/>
        </a:xfrm>
        <a:prstGeom prst="rect">
          <a:avLst/>
        </a:prstGeom>
      </xdr:spPr>
    </xdr:pic>
    <xdr:clientData/>
  </xdr:twoCellAnchor>
  <xdr:twoCellAnchor>
    <xdr:from>
      <xdr:col>1</xdr:col>
      <xdr:colOff>738188</xdr:colOff>
      <xdr:row>5</xdr:row>
      <xdr:rowOff>209550</xdr:rowOff>
    </xdr:from>
    <xdr:to>
      <xdr:col>3</xdr:col>
      <xdr:colOff>0</xdr:colOff>
      <xdr:row>7</xdr:row>
      <xdr:rowOff>47625</xdr:rowOff>
    </xdr:to>
    <xdr:sp macro="" textlink="">
      <xdr:nvSpPr>
        <xdr:cNvPr id="9" name="Retângulo com Canto Redondo do Mesmo Lado 8">
          <a:extLst>
            <a:ext uri="{FF2B5EF4-FFF2-40B4-BE49-F238E27FC236}">
              <a16:creationId xmlns:a16="http://schemas.microsoft.com/office/drawing/2014/main" xmlns="" id="{1E0F39CA-E63F-47CD-91E5-F31339B68AF0}"/>
            </a:ext>
            <a:ext uri="{147F2762-F138-4A5C-976F-8EAC2B608ADB}">
              <a16:predDERef xmlns:a16="http://schemas.microsoft.com/office/drawing/2014/main" xmlns="" pred="{57F0ADD6-B657-46F9-A860-789AB38A059F}"/>
            </a:ext>
          </a:extLst>
        </xdr:cNvPr>
        <xdr:cNvSpPr/>
      </xdr:nvSpPr>
      <xdr:spPr>
        <a:xfrm>
          <a:off x="3198813" y="2051050"/>
          <a:ext cx="3929062" cy="66357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100" b="1" i="0" u="none" strike="noStrike">
            <a:solidFill>
              <a:schemeClr val="lt1"/>
            </a:solidFill>
            <a:latin typeface="+mj-lt"/>
            <a:ea typeface="+mj-lt"/>
            <a:cs typeface="+mj-lt"/>
          </a:endParaRPr>
        </a:p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+mj-lt"/>
              <a:ea typeface="+mj-lt"/>
              <a:cs typeface="+mj-lt"/>
            </a:rPr>
            <a:t>Total  subscriptions EA Play Season Pass</a:t>
          </a:r>
        </a:p>
      </xdr:txBody>
    </xdr:sp>
    <xdr:clientData/>
  </xdr:twoCellAnchor>
  <xdr:twoCellAnchor>
    <xdr:from>
      <xdr:col>0</xdr:col>
      <xdr:colOff>200025</xdr:colOff>
      <xdr:row>0</xdr:row>
      <xdr:rowOff>257175</xdr:rowOff>
    </xdr:from>
    <xdr:to>
      <xdr:col>0</xdr:col>
      <xdr:colOff>733425</xdr:colOff>
      <xdr:row>1</xdr:row>
      <xdr:rowOff>9525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xmlns="" id="{CA590F48-26F0-4B10-A393-E11FDF07C373}"/>
            </a:ext>
            <a:ext uri="{147F2762-F138-4A5C-976F-8EAC2B608ADB}">
              <a16:predDERef xmlns:a16="http://schemas.microsoft.com/office/drawing/2014/main" xmlns="" pred="{1E0F39CA-E63F-47CD-91E5-F31339B68AF0}"/>
            </a:ext>
          </a:extLst>
        </xdr:cNvPr>
        <xdr:cNvSpPr/>
      </xdr:nvSpPr>
      <xdr:spPr>
        <a:xfrm>
          <a:off x="200025" y="257175"/>
          <a:ext cx="533400" cy="457200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 editAs="oneCell">
    <xdr:from>
      <xdr:col>4</xdr:col>
      <xdr:colOff>352425</xdr:colOff>
      <xdr:row>0</xdr:row>
      <xdr:rowOff>180975</xdr:rowOff>
    </xdr:from>
    <xdr:to>
      <xdr:col>4</xdr:col>
      <xdr:colOff>2305050</xdr:colOff>
      <xdr:row>1</xdr:row>
      <xdr:rowOff>104775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xmlns="" id="{CF0EEA71-F64B-4A07-B25E-B16E17A2E4FE}"/>
            </a:ext>
            <a:ext uri="{147F2762-F138-4A5C-976F-8EAC2B608ADB}">
              <a16:predDERef xmlns:a16="http://schemas.microsoft.com/office/drawing/2014/main" xmlns="" pred="{CA590F48-26F0-4B10-A393-E11FDF07C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00925" y="180975"/>
          <a:ext cx="1952625" cy="628650"/>
        </a:xfrm>
        <a:prstGeom prst="rect">
          <a:avLst/>
        </a:prstGeom>
      </xdr:spPr>
    </xdr:pic>
    <xdr:clientData/>
  </xdr:twoCellAnchor>
  <xdr:twoCellAnchor editAs="oneCell">
    <xdr:from>
      <xdr:col>4</xdr:col>
      <xdr:colOff>180975</xdr:colOff>
      <xdr:row>7</xdr:row>
      <xdr:rowOff>276225</xdr:rowOff>
    </xdr:from>
    <xdr:to>
      <xdr:col>4</xdr:col>
      <xdr:colOff>1095375</xdr:colOff>
      <xdr:row>7</xdr:row>
      <xdr:rowOff>657225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A6091BFE-017D-7935-413D-E07344F273EE}"/>
            </a:ext>
            <a:ext uri="{147F2762-F138-4A5C-976F-8EAC2B608ADB}">
              <a16:predDERef xmlns:a16="http://schemas.microsoft.com/office/drawing/2014/main" xmlns="" pred="{CF0EEA71-F64B-4A07-B25E-B16E17A2E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229475" y="2952750"/>
          <a:ext cx="914400" cy="381000"/>
        </a:xfrm>
        <a:prstGeom prst="rect">
          <a:avLst/>
        </a:prstGeom>
      </xdr:spPr>
    </xdr:pic>
    <xdr:clientData/>
  </xdr:twoCellAnchor>
  <xdr:twoCellAnchor>
    <xdr:from>
      <xdr:col>3</xdr:col>
      <xdr:colOff>936624</xdr:colOff>
      <xdr:row>5</xdr:row>
      <xdr:rowOff>185739</xdr:rowOff>
    </xdr:from>
    <xdr:to>
      <xdr:col>5</xdr:col>
      <xdr:colOff>7938</xdr:colOff>
      <xdr:row>7</xdr:row>
      <xdr:rowOff>7939</xdr:rowOff>
    </xdr:to>
    <xdr:sp macro="" textlink="">
      <xdr:nvSpPr>
        <xdr:cNvPr id="8" name="Retângulo com Canto Redondo do Mesmo Lado 7">
          <a:extLst>
            <a:ext uri="{FF2B5EF4-FFF2-40B4-BE49-F238E27FC236}">
              <a16:creationId xmlns:a16="http://schemas.microsoft.com/office/drawing/2014/main" xmlns="" id="{C26A7599-DE4C-4E12-8E59-315766117E0B}"/>
            </a:ext>
            <a:ext uri="{147F2762-F138-4A5C-976F-8EAC2B608ADB}">
              <a16:predDERef xmlns:a16="http://schemas.microsoft.com/office/drawing/2014/main" xmlns="" pred="{A6091BFE-017D-7935-413D-E07344F273EE}"/>
            </a:ext>
          </a:extLst>
        </xdr:cNvPr>
        <xdr:cNvSpPr/>
      </xdr:nvSpPr>
      <xdr:spPr>
        <a:xfrm>
          <a:off x="8064499" y="2027239"/>
          <a:ext cx="4135439" cy="64770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endParaRPr lang="en-US" sz="1100" b="1" i="0" u="none" strike="noStrike">
            <a:solidFill>
              <a:schemeClr val="lt1"/>
            </a:solidFill>
            <a:latin typeface="+mj-lt"/>
            <a:ea typeface="+mj-lt"/>
            <a:cs typeface="+mj-lt"/>
          </a:endParaRPr>
        </a:p>
        <a:p>
          <a:pPr marL="0" indent="0" algn="ctr"/>
          <a:r>
            <a:rPr lang="en-US" sz="1100" b="1" i="0" u="none" strike="noStrike">
              <a:solidFill>
                <a:schemeClr val="lt1"/>
              </a:solidFill>
              <a:latin typeface="+mj-lt"/>
              <a:ea typeface="+mj-lt"/>
              <a:cs typeface="+mj-lt"/>
            </a:rPr>
            <a:t>Total de vendas de assinaturas do EA Play</a:t>
          </a:r>
        </a:p>
      </xdr:txBody>
    </xdr:sp>
    <xdr:clientData/>
  </xdr:twoCellAnchor>
  <xdr:twoCellAnchor>
    <xdr:from>
      <xdr:col>0</xdr:col>
      <xdr:colOff>828675</xdr:colOff>
      <xdr:row>0</xdr:row>
      <xdr:rowOff>381000</xdr:rowOff>
    </xdr:from>
    <xdr:to>
      <xdr:col>0</xdr:col>
      <xdr:colOff>2024063</xdr:colOff>
      <xdr:row>1</xdr:row>
      <xdr:rowOff>76200</xdr:rowOff>
    </xdr:to>
    <xdr:sp macro="" textlink="">
      <xdr:nvSpPr>
        <xdr:cNvPr id="11" name="Retângulo Arredondado 10">
          <a:extLst>
            <a:ext uri="{FF2B5EF4-FFF2-40B4-BE49-F238E27FC236}">
              <a16:creationId xmlns:a16="http://schemas.microsoft.com/office/drawing/2014/main" xmlns="" id="{3ABC4947-A19B-1132-5664-C605BBD02771}"/>
            </a:ext>
            <a:ext uri="{147F2762-F138-4A5C-976F-8EAC2B608ADB}">
              <a16:predDERef xmlns:a16="http://schemas.microsoft.com/office/drawing/2014/main" xmlns="" pred="{C26A7599-DE4C-4E12-8E59-315766117E0B}"/>
            </a:ext>
          </a:extLst>
        </xdr:cNvPr>
        <xdr:cNvSpPr/>
      </xdr:nvSpPr>
      <xdr:spPr>
        <a:xfrm>
          <a:off x="828675" y="381000"/>
          <a:ext cx="1195388" cy="401638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Olá,  Joana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5760.943256134262" createdVersion="8" refreshedVersion="8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51003725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x v="0"/>
    <x v="0"/>
    <n v="5"/>
    <n v="60"/>
  </r>
  <r>
    <n v="3232"/>
    <s v="Maria Oliveira"/>
    <x v="1"/>
    <d v="2024-01-15T00:00:00"/>
    <x v="1"/>
    <n v="5"/>
    <x v="1"/>
    <s v="No"/>
    <s v="-"/>
    <x v="1"/>
    <x v="1"/>
    <n v="0"/>
    <n v="5"/>
  </r>
  <r>
    <n v="3233"/>
    <s v="Lucas Fernandes"/>
    <x v="2"/>
    <d v="2024-02-10T00:00:00"/>
    <x v="0"/>
    <n v="10"/>
    <x v="2"/>
    <s v="No"/>
    <s v="-"/>
    <x v="0"/>
    <x v="0"/>
    <n v="10"/>
    <n v="20"/>
  </r>
  <r>
    <n v="3234"/>
    <s v="Ana Souza"/>
    <x v="0"/>
    <d v="2024-02-20T00:00:00"/>
    <x v="1"/>
    <n v="15"/>
    <x v="0"/>
    <s v="Yes"/>
    <n v="30"/>
    <x v="0"/>
    <x v="0"/>
    <n v="3"/>
    <n v="62"/>
  </r>
  <r>
    <n v="3235"/>
    <s v="Pedro Gonçalves"/>
    <x v="1"/>
    <d v="2024-03-05T00:00:00"/>
    <x v="0"/>
    <n v="5"/>
    <x v="0"/>
    <s v="No"/>
    <s v="-"/>
    <x v="1"/>
    <x v="1"/>
    <n v="1"/>
    <n v="4"/>
  </r>
  <r>
    <n v="3236"/>
    <s v="Felipe Costa"/>
    <x v="2"/>
    <d v="2024-03-02T00:00:00"/>
    <x v="1"/>
    <n v="10"/>
    <x v="0"/>
    <s v="No"/>
    <s v="-"/>
    <x v="0"/>
    <x v="0"/>
    <n v="2"/>
    <n v="28"/>
  </r>
  <r>
    <n v="3237"/>
    <s v="Camila Ribeiro"/>
    <x v="0"/>
    <d v="2024-03-03T00:00:00"/>
    <x v="0"/>
    <n v="15"/>
    <x v="2"/>
    <s v="Yes"/>
    <n v="30"/>
    <x v="0"/>
    <x v="0"/>
    <n v="10"/>
    <n v="55"/>
  </r>
  <r>
    <n v="3238"/>
    <s v="André Mendes"/>
    <x v="1"/>
    <d v="2024-03-04T00:00:00"/>
    <x v="0"/>
    <n v="5"/>
    <x v="1"/>
    <s v="No"/>
    <s v="-"/>
    <x v="1"/>
    <x v="1"/>
    <n v="0"/>
    <n v="5"/>
  </r>
  <r>
    <n v="3239"/>
    <s v="Sofia Almeida"/>
    <x v="0"/>
    <d v="2024-03-05T00:00:00"/>
    <x v="1"/>
    <n v="15"/>
    <x v="0"/>
    <s v="Yes"/>
    <n v="30"/>
    <x v="0"/>
    <x v="0"/>
    <n v="5"/>
    <n v="60"/>
  </r>
  <r>
    <n v="3240"/>
    <s v="Bruno Martins"/>
    <x v="2"/>
    <d v="2024-03-06T00:00:00"/>
    <x v="0"/>
    <n v="10"/>
    <x v="2"/>
    <s v="No"/>
    <s v="-"/>
    <x v="0"/>
    <x v="0"/>
    <n v="15"/>
    <n v="15"/>
  </r>
  <r>
    <n v="3241"/>
    <s v="Rita Castro"/>
    <x v="1"/>
    <d v="2024-03-07T00:00:00"/>
    <x v="1"/>
    <n v="5"/>
    <x v="0"/>
    <s v="No"/>
    <s v="-"/>
    <x v="1"/>
    <x v="1"/>
    <n v="1"/>
    <n v="4"/>
  </r>
  <r>
    <n v="3242"/>
    <s v="Marco Túlio"/>
    <x v="0"/>
    <d v="2024-03-08T00:00:00"/>
    <x v="0"/>
    <n v="15"/>
    <x v="1"/>
    <s v="Yes"/>
    <n v="30"/>
    <x v="0"/>
    <x v="0"/>
    <n v="20"/>
    <n v="45"/>
  </r>
  <r>
    <n v="3243"/>
    <s v="Lívia Silveira"/>
    <x v="2"/>
    <d v="2024-03-09T00:00:00"/>
    <x v="1"/>
    <n v="10"/>
    <x v="0"/>
    <s v="No"/>
    <s v="-"/>
    <x v="0"/>
    <x v="0"/>
    <n v="10"/>
    <n v="20"/>
  </r>
  <r>
    <n v="3244"/>
    <s v="Diogo Sousa"/>
    <x v="1"/>
    <d v="2024-03-10T00:00:00"/>
    <x v="0"/>
    <n v="5"/>
    <x v="2"/>
    <s v="No"/>
    <s v="-"/>
    <x v="1"/>
    <x v="1"/>
    <n v="0"/>
    <n v="5"/>
  </r>
  <r>
    <n v="3245"/>
    <s v="Fernanda Lima"/>
    <x v="0"/>
    <d v="2024-03-11T00:00:00"/>
    <x v="1"/>
    <n v="15"/>
    <x v="0"/>
    <s v="Yes"/>
    <n v="30"/>
    <x v="0"/>
    <x v="0"/>
    <n v="8"/>
    <n v="57"/>
  </r>
  <r>
    <n v="3246"/>
    <s v="Caio Pereira"/>
    <x v="2"/>
    <d v="2024-03-12T00:00:00"/>
    <x v="0"/>
    <n v="10"/>
    <x v="1"/>
    <s v="No"/>
    <s v="-"/>
    <x v="0"/>
    <x v="0"/>
    <n v="12"/>
    <n v="18"/>
  </r>
  <r>
    <n v="3247"/>
    <s v="Beatriz Gomes"/>
    <x v="1"/>
    <d v="2024-03-13T00:00:00"/>
    <x v="1"/>
    <n v="5"/>
    <x v="0"/>
    <s v="No"/>
    <s v="-"/>
    <x v="1"/>
    <x v="1"/>
    <n v="2"/>
    <n v="3"/>
  </r>
  <r>
    <n v="3248"/>
    <s v="Cesar Oliveira"/>
    <x v="0"/>
    <d v="2024-03-14T00:00:00"/>
    <x v="0"/>
    <n v="15"/>
    <x v="2"/>
    <s v="Yes"/>
    <n v="30"/>
    <x v="0"/>
    <x v="0"/>
    <n v="7"/>
    <n v="58"/>
  </r>
  <r>
    <n v="3249"/>
    <s v="Débora Machado"/>
    <x v="2"/>
    <d v="2024-03-15T00:00:00"/>
    <x v="1"/>
    <n v="10"/>
    <x v="0"/>
    <s v="No"/>
    <s v="-"/>
    <x v="0"/>
    <x v="0"/>
    <n v="5"/>
    <n v="25"/>
  </r>
  <r>
    <n v="3250"/>
    <s v="Eduardo Vargas"/>
    <x v="1"/>
    <d v="2024-03-16T00:00:00"/>
    <x v="0"/>
    <n v="5"/>
    <x v="1"/>
    <s v="No"/>
    <s v="-"/>
    <x v="1"/>
    <x v="1"/>
    <n v="0"/>
    <n v="5"/>
  </r>
  <r>
    <n v="3251"/>
    <s v="Gabriela Santos"/>
    <x v="0"/>
    <d v="2024-03-17T00:00:00"/>
    <x v="1"/>
    <n v="15"/>
    <x v="0"/>
    <s v="Yes"/>
    <n v="30"/>
    <x v="0"/>
    <x v="0"/>
    <n v="3"/>
    <n v="62"/>
  </r>
  <r>
    <n v="3252"/>
    <s v="Henrique Dias"/>
    <x v="2"/>
    <d v="2024-03-18T00:00:00"/>
    <x v="0"/>
    <n v="10"/>
    <x v="2"/>
    <s v="No"/>
    <s v="-"/>
    <x v="0"/>
    <x v="0"/>
    <n v="15"/>
    <n v="15"/>
  </r>
  <r>
    <n v="3253"/>
    <s v="Isabela Moreira"/>
    <x v="1"/>
    <d v="2024-03-19T00:00:00"/>
    <x v="1"/>
    <n v="5"/>
    <x v="0"/>
    <s v="No"/>
    <s v="-"/>
    <x v="1"/>
    <x v="1"/>
    <n v="1"/>
    <n v="4"/>
  </r>
  <r>
    <n v="3254"/>
    <s v="Joaquim Barbosa"/>
    <x v="0"/>
    <d v="2024-03-20T00:00:00"/>
    <x v="0"/>
    <n v="15"/>
    <x v="1"/>
    <s v="Yes"/>
    <n v="30"/>
    <x v="0"/>
    <x v="0"/>
    <n v="20"/>
    <n v="45"/>
  </r>
  <r>
    <n v="3255"/>
    <s v="Lara Rocha"/>
    <x v="2"/>
    <d v="2024-03-21T00:00:00"/>
    <x v="1"/>
    <n v="10"/>
    <x v="0"/>
    <s v="No"/>
    <s v="-"/>
    <x v="0"/>
    <x v="0"/>
    <n v="10"/>
    <n v="20"/>
  </r>
  <r>
    <n v="3256"/>
    <s v="Matheus Silva"/>
    <x v="1"/>
    <d v="2024-03-22T00:00:00"/>
    <x v="0"/>
    <n v="5"/>
    <x v="2"/>
    <s v="No"/>
    <s v="-"/>
    <x v="1"/>
    <x v="1"/>
    <n v="0"/>
    <n v="5"/>
  </r>
  <r>
    <n v="3257"/>
    <s v="Nicole Costa"/>
    <x v="0"/>
    <d v="2024-03-23T00:00:00"/>
    <x v="1"/>
    <n v="15"/>
    <x v="0"/>
    <s v="Yes"/>
    <n v="30"/>
    <x v="0"/>
    <x v="0"/>
    <n v="5"/>
    <n v="60"/>
  </r>
  <r>
    <n v="3258"/>
    <s v="Otávio Mendonça"/>
    <x v="2"/>
    <d v="2024-03-24T00:00:00"/>
    <x v="0"/>
    <n v="10"/>
    <x v="1"/>
    <s v="No"/>
    <s v="-"/>
    <x v="0"/>
    <x v="0"/>
    <n v="15"/>
    <n v="15"/>
  </r>
  <r>
    <n v="3259"/>
    <s v="Paula Ferreira"/>
    <x v="1"/>
    <d v="2024-03-25T00:00:00"/>
    <x v="1"/>
    <n v="5"/>
    <x v="0"/>
    <s v="No"/>
    <s v="-"/>
    <x v="1"/>
    <x v="1"/>
    <n v="1"/>
    <n v="4"/>
  </r>
  <r>
    <n v="3260"/>
    <s v="Raquel Alves"/>
    <x v="0"/>
    <d v="2024-03-26T00:00:00"/>
    <x v="0"/>
    <n v="15"/>
    <x v="2"/>
    <s v="Yes"/>
    <n v="30"/>
    <x v="0"/>
    <x v="0"/>
    <n v="7"/>
    <n v="58"/>
  </r>
  <r>
    <n v="3261"/>
    <s v="Samuel Pires"/>
    <x v="2"/>
    <d v="2024-03-27T00:00:00"/>
    <x v="1"/>
    <n v="10"/>
    <x v="0"/>
    <s v="No"/>
    <s v="-"/>
    <x v="0"/>
    <x v="0"/>
    <n v="10"/>
    <n v="20"/>
  </r>
  <r>
    <n v="3262"/>
    <s v="Tânia Barros"/>
    <x v="1"/>
    <d v="2024-03-28T00:00:00"/>
    <x v="0"/>
    <n v="5"/>
    <x v="1"/>
    <s v="No"/>
    <s v="-"/>
    <x v="1"/>
    <x v="1"/>
    <n v="0"/>
    <n v="5"/>
  </r>
  <r>
    <n v="3263"/>
    <s v="Vinicius Lima"/>
    <x v="0"/>
    <d v="2024-03-29T00:00:00"/>
    <x v="1"/>
    <n v="15"/>
    <x v="0"/>
    <s v="Yes"/>
    <n v="30"/>
    <x v="0"/>
    <x v="0"/>
    <n v="3"/>
    <n v="62"/>
  </r>
  <r>
    <n v="3264"/>
    <s v="Yasmin Teixeira"/>
    <x v="2"/>
    <d v="2024-03-30T00:00:00"/>
    <x v="0"/>
    <n v="10"/>
    <x v="2"/>
    <s v="No"/>
    <s v="-"/>
    <x v="0"/>
    <x v="0"/>
    <n v="15"/>
    <n v="15"/>
  </r>
  <r>
    <n v="3265"/>
    <s v="Zé Carlos"/>
    <x v="1"/>
    <d v="2024-03-31T00:00:00"/>
    <x v="1"/>
    <n v="5"/>
    <x v="0"/>
    <s v="No"/>
    <s v="-"/>
    <x v="1"/>
    <x v="1"/>
    <n v="1"/>
    <n v="4"/>
  </r>
  <r>
    <n v="3266"/>
    <s v="Amanda Nogueira"/>
    <x v="1"/>
    <d v="2024-04-01T00:00:00"/>
    <x v="0"/>
    <n v="5"/>
    <x v="0"/>
    <s v="No"/>
    <s v="-"/>
    <x v="1"/>
    <x v="1"/>
    <n v="0"/>
    <n v="5"/>
  </r>
  <r>
    <n v="3267"/>
    <s v="Bruno Cavalheiro"/>
    <x v="0"/>
    <d v="2024-04-02T00:00:00"/>
    <x v="1"/>
    <n v="15"/>
    <x v="2"/>
    <s v="Yes"/>
    <n v="30"/>
    <x v="0"/>
    <x v="0"/>
    <n v="7"/>
    <n v="58"/>
  </r>
  <r>
    <n v="3268"/>
    <s v="Carla Dias"/>
    <x v="2"/>
    <d v="2024-04-03T00:00:00"/>
    <x v="0"/>
    <n v="10"/>
    <x v="1"/>
    <s v="No"/>
    <s v="-"/>
    <x v="0"/>
    <x v="0"/>
    <n v="10"/>
    <n v="20"/>
  </r>
  <r>
    <n v="3269"/>
    <s v="Diego Fontes"/>
    <x v="1"/>
    <d v="2024-04-04T00:00:00"/>
    <x v="1"/>
    <n v="5"/>
    <x v="2"/>
    <s v="No"/>
    <s v="-"/>
    <x v="1"/>
    <x v="1"/>
    <n v="1"/>
    <n v="4"/>
  </r>
  <r>
    <n v="3270"/>
    <s v="Eunice Lima"/>
    <x v="0"/>
    <d v="2024-04-05T00:00:00"/>
    <x v="0"/>
    <n v="15"/>
    <x v="0"/>
    <s v="Yes"/>
    <n v="30"/>
    <x v="0"/>
    <x v="0"/>
    <n v="15"/>
    <n v="50"/>
  </r>
  <r>
    <n v="3271"/>
    <s v="Fábio Martins"/>
    <x v="2"/>
    <d v="2024-04-06T00:00:00"/>
    <x v="1"/>
    <n v="10"/>
    <x v="0"/>
    <s v="No"/>
    <s v="-"/>
    <x v="0"/>
    <x v="0"/>
    <n v="5"/>
    <n v="25"/>
  </r>
  <r>
    <n v="3272"/>
    <s v="Gisele Araújo"/>
    <x v="1"/>
    <d v="2024-04-07T00:00:00"/>
    <x v="0"/>
    <n v="5"/>
    <x v="1"/>
    <s v="No"/>
    <s v="-"/>
    <x v="1"/>
    <x v="1"/>
    <n v="0"/>
    <n v="5"/>
  </r>
  <r>
    <n v="3273"/>
    <s v="Hélio Castro"/>
    <x v="0"/>
    <d v="2024-04-08T00:00:00"/>
    <x v="1"/>
    <n v="15"/>
    <x v="2"/>
    <s v="Yes"/>
    <n v="30"/>
    <x v="0"/>
    <x v="0"/>
    <n v="20"/>
    <n v="45"/>
  </r>
  <r>
    <n v="3274"/>
    <s v="Ingrid Menezes"/>
    <x v="2"/>
    <d v="2024-04-09T00:00:00"/>
    <x v="0"/>
    <n v="10"/>
    <x v="2"/>
    <s v="No"/>
    <s v="-"/>
    <x v="0"/>
    <x v="0"/>
    <n v="12"/>
    <n v="18"/>
  </r>
  <r>
    <n v="3275"/>
    <s v="Jorge Baptista"/>
    <x v="1"/>
    <d v="2024-04-10T00:00:00"/>
    <x v="1"/>
    <n v="5"/>
    <x v="0"/>
    <s v="No"/>
    <s v="-"/>
    <x v="1"/>
    <x v="1"/>
    <n v="2"/>
    <n v="3"/>
  </r>
  <r>
    <n v="3276"/>
    <s v="Kléber Oliveira"/>
    <x v="0"/>
    <d v="2024-04-11T00:00:00"/>
    <x v="0"/>
    <n v="15"/>
    <x v="1"/>
    <s v="Yes"/>
    <n v="30"/>
    <x v="0"/>
    <x v="0"/>
    <n v="5"/>
    <n v="60"/>
  </r>
  <r>
    <n v="3277"/>
    <s v="Luciana Freitas"/>
    <x v="2"/>
    <d v="2024-04-12T00:00:00"/>
    <x v="1"/>
    <n v="10"/>
    <x v="0"/>
    <s v="No"/>
    <s v="-"/>
    <x v="0"/>
    <x v="0"/>
    <n v="10"/>
    <n v="20"/>
  </r>
  <r>
    <n v="3278"/>
    <s v="Márcia Eller"/>
    <x v="1"/>
    <d v="2024-04-13T00:00:00"/>
    <x v="0"/>
    <n v="5"/>
    <x v="2"/>
    <s v="No"/>
    <s v="-"/>
    <x v="1"/>
    <x v="1"/>
    <n v="0"/>
    <n v="5"/>
  </r>
  <r>
    <n v="3279"/>
    <s v="Nilo Peçanha"/>
    <x v="0"/>
    <d v="2024-04-14T00:00:00"/>
    <x v="1"/>
    <n v="15"/>
    <x v="0"/>
    <s v="Yes"/>
    <n v="30"/>
    <x v="0"/>
    <x v="0"/>
    <n v="3"/>
    <n v="62"/>
  </r>
  <r>
    <n v="3280"/>
    <s v="Oscar Neves"/>
    <x v="2"/>
    <d v="2024-04-15T00:00:00"/>
    <x v="0"/>
    <n v="10"/>
    <x v="1"/>
    <s v="No"/>
    <s v="-"/>
    <x v="0"/>
    <x v="0"/>
    <n v="15"/>
    <n v="15"/>
  </r>
  <r>
    <n v="3281"/>
    <s v="Patrícia Soares"/>
    <x v="1"/>
    <d v="2024-04-16T00:00:00"/>
    <x v="1"/>
    <n v="5"/>
    <x v="0"/>
    <s v="No"/>
    <s v="-"/>
    <x v="1"/>
    <x v="1"/>
    <n v="1"/>
    <n v="4"/>
  </r>
  <r>
    <n v="3282"/>
    <s v="Quirino Gonçalves"/>
    <x v="0"/>
    <d v="2024-04-17T00:00:00"/>
    <x v="0"/>
    <n v="15"/>
    <x v="2"/>
    <s v="Yes"/>
    <n v="30"/>
    <x v="0"/>
    <x v="0"/>
    <n v="7"/>
    <n v="58"/>
  </r>
  <r>
    <n v="3283"/>
    <s v="Raul Machado"/>
    <x v="2"/>
    <d v="2024-04-18T00:00:00"/>
    <x v="1"/>
    <n v="10"/>
    <x v="0"/>
    <s v="No"/>
    <s v="-"/>
    <x v="0"/>
    <x v="0"/>
    <n v="10"/>
    <n v="20"/>
  </r>
  <r>
    <n v="3284"/>
    <s v="Sônia Lobo"/>
    <x v="1"/>
    <d v="2024-04-19T00:00:00"/>
    <x v="0"/>
    <n v="5"/>
    <x v="1"/>
    <s v="No"/>
    <s v="-"/>
    <x v="1"/>
    <x v="1"/>
    <n v="0"/>
    <n v="5"/>
  </r>
  <r>
    <n v="3285"/>
    <s v="Tiago Ramos"/>
    <x v="0"/>
    <d v="2024-04-20T00:00:00"/>
    <x v="1"/>
    <n v="15"/>
    <x v="0"/>
    <s v="Yes"/>
    <n v="30"/>
    <x v="0"/>
    <x v="0"/>
    <n v="20"/>
    <n v="45"/>
  </r>
  <r>
    <n v="3286"/>
    <s v="Ugo Pires"/>
    <x v="2"/>
    <d v="2024-04-21T00:00:00"/>
    <x v="0"/>
    <n v="10"/>
    <x v="2"/>
    <s v="No"/>
    <s v="-"/>
    <x v="0"/>
    <x v="0"/>
    <n v="15"/>
    <n v="15"/>
  </r>
  <r>
    <n v="3287"/>
    <s v="Valéria Nobre"/>
    <x v="1"/>
    <d v="2024-04-22T00:00:00"/>
    <x v="1"/>
    <n v="5"/>
    <x v="0"/>
    <s v="No"/>
    <s v="-"/>
    <x v="1"/>
    <x v="1"/>
    <n v="1"/>
    <n v="4"/>
  </r>
  <r>
    <n v="3288"/>
    <s v="William Siqueira"/>
    <x v="0"/>
    <d v="2024-04-23T00:00:00"/>
    <x v="0"/>
    <n v="15"/>
    <x v="1"/>
    <s v="Yes"/>
    <n v="30"/>
    <x v="0"/>
    <x v="0"/>
    <n v="3"/>
    <n v="62"/>
  </r>
  <r>
    <n v="3289"/>
    <s v="Xuxa Meneghel"/>
    <x v="2"/>
    <d v="2024-04-24T00:00:00"/>
    <x v="1"/>
    <n v="10"/>
    <x v="0"/>
    <s v="No"/>
    <s v="-"/>
    <x v="0"/>
    <x v="0"/>
    <n v="10"/>
    <n v="20"/>
  </r>
  <r>
    <n v="3290"/>
    <s v="Yara Figueiredo"/>
    <x v="1"/>
    <d v="2024-04-25T00:00:00"/>
    <x v="0"/>
    <n v="5"/>
    <x v="2"/>
    <s v="No"/>
    <s v="-"/>
    <x v="1"/>
    <x v="1"/>
    <n v="0"/>
    <n v="5"/>
  </r>
  <r>
    <n v="3291"/>
    <s v="Zacarias Alves"/>
    <x v="0"/>
    <d v="2024-04-26T00:00:00"/>
    <x v="1"/>
    <n v="15"/>
    <x v="0"/>
    <s v="Yes"/>
    <n v="30"/>
    <x v="0"/>
    <x v="0"/>
    <n v="5"/>
    <n v="60"/>
  </r>
  <r>
    <n v="3292"/>
    <s v="Amanda Bynes"/>
    <x v="2"/>
    <d v="2024-04-27T00:00:00"/>
    <x v="0"/>
    <n v="10"/>
    <x v="1"/>
    <s v="No"/>
    <s v="-"/>
    <x v="0"/>
    <x v="0"/>
    <n v="15"/>
    <n v="15"/>
  </r>
  <r>
    <n v="3293"/>
    <s v="Bruno Mars"/>
    <x v="1"/>
    <d v="2024-04-28T00:00:00"/>
    <x v="1"/>
    <n v="5"/>
    <x v="0"/>
    <s v="No"/>
    <s v="-"/>
    <x v="1"/>
    <x v="1"/>
    <n v="1"/>
    <n v="4"/>
  </r>
  <r>
    <n v="3294"/>
    <s v="Carla Bruni"/>
    <x v="0"/>
    <d v="2024-04-29T00:00:00"/>
    <x v="0"/>
    <n v="15"/>
    <x v="2"/>
    <s v="Yes"/>
    <n v="30"/>
    <x v="0"/>
    <x v="0"/>
    <n v="20"/>
    <n v="45"/>
  </r>
  <r>
    <n v="3295"/>
    <s v="Diego Maradona"/>
    <x v="2"/>
    <d v="2024-04-30T00:00:00"/>
    <x v="1"/>
    <n v="10"/>
    <x v="0"/>
    <s v="No"/>
    <s v="-"/>
    <x v="0"/>
    <x v="0"/>
    <n v="5"/>
    <n v="25"/>
  </r>
  <r>
    <n v="3296"/>
    <s v="Estela Marques"/>
    <x v="1"/>
    <d v="2024-05-01T00:00:00"/>
    <x v="1"/>
    <n v="5"/>
    <x v="0"/>
    <s v="No"/>
    <s v="-"/>
    <x v="1"/>
    <x v="1"/>
    <n v="0"/>
    <n v="5"/>
  </r>
  <r>
    <n v="3297"/>
    <s v="Fábio Nobre"/>
    <x v="0"/>
    <d v="2024-05-02T00:00:00"/>
    <x v="0"/>
    <n v="15"/>
    <x v="2"/>
    <s v="Yes"/>
    <n v="30"/>
    <x v="0"/>
    <x v="0"/>
    <n v="7"/>
    <n v="58"/>
  </r>
  <r>
    <n v="3298"/>
    <s v="Gabriel Oliveira"/>
    <x v="2"/>
    <d v="2024-05-03T00:00:00"/>
    <x v="1"/>
    <n v="10"/>
    <x v="1"/>
    <s v="No"/>
    <s v="-"/>
    <x v="0"/>
    <x v="0"/>
    <n v="10"/>
    <n v="20"/>
  </r>
  <r>
    <n v="3299"/>
    <s v="Helena Santos"/>
    <x v="1"/>
    <d v="2024-05-04T00:00:00"/>
    <x v="0"/>
    <n v="5"/>
    <x v="2"/>
    <s v="No"/>
    <s v="-"/>
    <x v="1"/>
    <x v="1"/>
    <n v="1"/>
    <n v="4"/>
  </r>
  <r>
    <n v="3300"/>
    <s v="Ivan Carvalho"/>
    <x v="0"/>
    <d v="2024-05-05T00:00:00"/>
    <x v="1"/>
    <n v="15"/>
    <x v="0"/>
    <s v="Yes"/>
    <n v="30"/>
    <x v="0"/>
    <x v="0"/>
    <n v="15"/>
    <n v="50"/>
  </r>
  <r>
    <n v="3301"/>
    <s v="Júlia Ferreira"/>
    <x v="2"/>
    <d v="2024-05-06T00:00:00"/>
    <x v="0"/>
    <n v="10"/>
    <x v="0"/>
    <s v="No"/>
    <s v="-"/>
    <x v="0"/>
    <x v="0"/>
    <n v="5"/>
    <n v="25"/>
  </r>
  <r>
    <n v="3302"/>
    <s v="Karla Alves"/>
    <x v="1"/>
    <d v="2024-05-07T00:00:00"/>
    <x v="1"/>
    <n v="5"/>
    <x v="1"/>
    <s v="No"/>
    <s v="-"/>
    <x v="1"/>
    <x v="1"/>
    <n v="0"/>
    <n v="5"/>
  </r>
  <r>
    <n v="3303"/>
    <s v="Lucas Mendes"/>
    <x v="0"/>
    <d v="2024-05-08T00:00:00"/>
    <x v="0"/>
    <n v="15"/>
    <x v="2"/>
    <s v="Yes"/>
    <n v="30"/>
    <x v="0"/>
    <x v="0"/>
    <n v="20"/>
    <n v="45"/>
  </r>
  <r>
    <n v="3304"/>
    <s v="Mônica Gomes"/>
    <x v="2"/>
    <d v="2024-05-09T00:00:00"/>
    <x v="1"/>
    <n v="10"/>
    <x v="2"/>
    <s v="No"/>
    <s v="-"/>
    <x v="0"/>
    <x v="0"/>
    <n v="12"/>
    <n v="18"/>
  </r>
  <r>
    <n v="3305"/>
    <s v="Norberto Queiroz"/>
    <x v="1"/>
    <d v="2024-05-10T00:00:00"/>
    <x v="0"/>
    <n v="5"/>
    <x v="0"/>
    <s v="No"/>
    <s v="-"/>
    <x v="1"/>
    <x v="1"/>
    <n v="2"/>
    <n v="3"/>
  </r>
  <r>
    <n v="3306"/>
    <s v="Otávio Barros"/>
    <x v="0"/>
    <d v="2024-05-11T00:00:00"/>
    <x v="1"/>
    <n v="15"/>
    <x v="1"/>
    <s v="Yes"/>
    <n v="30"/>
    <x v="0"/>
    <x v="0"/>
    <n v="5"/>
    <n v="60"/>
  </r>
  <r>
    <n v="3307"/>
    <s v="Paula Vieira"/>
    <x v="2"/>
    <d v="2024-05-12T00:00:00"/>
    <x v="0"/>
    <n v="10"/>
    <x v="0"/>
    <s v="No"/>
    <s v="-"/>
    <x v="0"/>
    <x v="0"/>
    <n v="10"/>
    <n v="20"/>
  </r>
  <r>
    <n v="3308"/>
    <s v="Quentin Ramos"/>
    <x v="1"/>
    <d v="2024-05-13T00:00:00"/>
    <x v="1"/>
    <n v="5"/>
    <x v="2"/>
    <s v="No"/>
    <s v="-"/>
    <x v="1"/>
    <x v="1"/>
    <n v="0"/>
    <n v="5"/>
  </r>
  <r>
    <n v="3309"/>
    <s v="Raquel Novaes"/>
    <x v="0"/>
    <d v="2024-05-14T00:00:00"/>
    <x v="0"/>
    <n v="15"/>
    <x v="0"/>
    <s v="Yes"/>
    <n v="30"/>
    <x v="0"/>
    <x v="0"/>
    <n v="3"/>
    <n v="62"/>
  </r>
  <r>
    <n v="3310"/>
    <s v="Samantha Lopes"/>
    <x v="2"/>
    <d v="2024-05-15T00:00:00"/>
    <x v="1"/>
    <n v="10"/>
    <x v="1"/>
    <s v="No"/>
    <s v="-"/>
    <x v="0"/>
    <x v="0"/>
    <n v="15"/>
    <n v="15"/>
  </r>
  <r>
    <n v="3311"/>
    <s v="Tiago Martins"/>
    <x v="1"/>
    <d v="2024-05-16T00:00:00"/>
    <x v="0"/>
    <n v="5"/>
    <x v="0"/>
    <s v="No"/>
    <s v="-"/>
    <x v="1"/>
    <x v="1"/>
    <n v="1"/>
    <n v="4"/>
  </r>
  <r>
    <n v="3312"/>
    <s v="Ulysses Guimarães"/>
    <x v="0"/>
    <d v="2024-05-17T00:00:00"/>
    <x v="1"/>
    <n v="15"/>
    <x v="2"/>
    <s v="Yes"/>
    <n v="30"/>
    <x v="0"/>
    <x v="0"/>
    <n v="7"/>
    <n v="58"/>
  </r>
  <r>
    <n v="3313"/>
    <s v="Vanessa Silva"/>
    <x v="2"/>
    <d v="2024-05-18T00:00:00"/>
    <x v="0"/>
    <n v="10"/>
    <x v="0"/>
    <s v="No"/>
    <s v="-"/>
    <x v="0"/>
    <x v="0"/>
    <n v="10"/>
    <n v="20"/>
  </r>
  <r>
    <n v="3314"/>
    <s v="William Carneiro"/>
    <x v="1"/>
    <d v="2024-05-19T00:00:00"/>
    <x v="1"/>
    <n v="5"/>
    <x v="1"/>
    <s v="No"/>
    <s v="-"/>
    <x v="1"/>
    <x v="1"/>
    <n v="0"/>
    <n v="5"/>
  </r>
  <r>
    <n v="3315"/>
    <s v="Ximena Rocha"/>
    <x v="0"/>
    <d v="2024-05-20T00:00:00"/>
    <x v="0"/>
    <n v="15"/>
    <x v="0"/>
    <s v="Yes"/>
    <n v="30"/>
    <x v="0"/>
    <x v="0"/>
    <n v="20"/>
    <n v="45"/>
  </r>
  <r>
    <n v="3316"/>
    <s v="Yasmin Figueiredo"/>
    <x v="2"/>
    <d v="2024-05-21T00:00:00"/>
    <x v="1"/>
    <n v="10"/>
    <x v="2"/>
    <s v="No"/>
    <s v="-"/>
    <x v="0"/>
    <x v="0"/>
    <n v="15"/>
    <n v="15"/>
  </r>
  <r>
    <n v="3317"/>
    <s v="Zara Cunha"/>
    <x v="1"/>
    <d v="2024-05-22T00:00:00"/>
    <x v="0"/>
    <n v="5"/>
    <x v="0"/>
    <s v="No"/>
    <s v="-"/>
    <x v="1"/>
    <x v="1"/>
    <n v="1"/>
    <n v="4"/>
  </r>
  <r>
    <n v="3318"/>
    <s v="Alan Teixeira"/>
    <x v="0"/>
    <d v="2024-05-23T00:00:00"/>
    <x v="1"/>
    <n v="15"/>
    <x v="1"/>
    <s v="Yes"/>
    <n v="30"/>
    <x v="0"/>
    <x v="0"/>
    <n v="3"/>
    <n v="62"/>
  </r>
  <r>
    <n v="3319"/>
    <s v="Bárbara Oliveira"/>
    <x v="2"/>
    <d v="2024-05-24T00:00:00"/>
    <x v="0"/>
    <n v="10"/>
    <x v="0"/>
    <s v="No"/>
    <s v="-"/>
    <x v="0"/>
    <x v="0"/>
    <n v="10"/>
    <n v="20"/>
  </r>
  <r>
    <n v="3320"/>
    <s v="Carlos Junqueira"/>
    <x v="1"/>
    <d v="2024-05-25T00:00:00"/>
    <x v="1"/>
    <n v="5"/>
    <x v="2"/>
    <s v="No"/>
    <s v="-"/>
    <x v="1"/>
    <x v="1"/>
    <n v="0"/>
    <n v="5"/>
  </r>
  <r>
    <n v="3321"/>
    <s v="Daniela Moura"/>
    <x v="0"/>
    <d v="2024-05-26T00:00:00"/>
    <x v="0"/>
    <n v="15"/>
    <x v="0"/>
    <s v="Yes"/>
    <n v="30"/>
    <x v="0"/>
    <x v="0"/>
    <n v="5"/>
    <n v="60"/>
  </r>
  <r>
    <n v="3322"/>
    <s v="Eduardo Lima"/>
    <x v="2"/>
    <d v="2024-05-27T00:00:00"/>
    <x v="1"/>
    <n v="10"/>
    <x v="1"/>
    <s v="No"/>
    <s v="-"/>
    <x v="0"/>
    <x v="0"/>
    <n v="15"/>
    <n v="15"/>
  </r>
  <r>
    <n v="3323"/>
    <s v="Fabiana Araújo"/>
    <x v="1"/>
    <d v="2024-05-28T00:00:00"/>
    <x v="0"/>
    <n v="5"/>
    <x v="0"/>
    <s v="No"/>
    <s v="-"/>
    <x v="1"/>
    <x v="1"/>
    <n v="1"/>
    <n v="4"/>
  </r>
  <r>
    <n v="3324"/>
    <s v="Geraldo Ribeiro"/>
    <x v="0"/>
    <d v="2024-05-29T00:00:00"/>
    <x v="1"/>
    <n v="15"/>
    <x v="2"/>
    <s v="Yes"/>
    <n v="30"/>
    <x v="0"/>
    <x v="0"/>
    <n v="20"/>
    <n v="45"/>
  </r>
  <r>
    <n v="3325"/>
    <s v="Héctor Vargas"/>
    <x v="2"/>
    <d v="2024-05-30T00:00:00"/>
    <x v="0"/>
    <n v="10"/>
    <x v="2"/>
    <s v="No"/>
    <s v="-"/>
    <x v="0"/>
    <x v="0"/>
    <n v="15"/>
    <n v="15"/>
  </r>
  <r>
    <n v="3326"/>
    <s v="Isabela Fonseca"/>
    <x v="1"/>
    <d v="2024-05-31T00:00:00"/>
    <x v="1"/>
    <n v="5"/>
    <x v="1"/>
    <s v="No"/>
    <s v="-"/>
    <x v="1"/>
    <x v="1"/>
    <n v="0"/>
    <n v="5"/>
  </r>
  <r>
    <n v="3327"/>
    <s v="João Pedro Almeida"/>
    <x v="0"/>
    <d v="2024-06-01T00:00:00"/>
    <x v="0"/>
    <n v="15"/>
    <x v="0"/>
    <s v="Yes"/>
    <n v="30"/>
    <x v="0"/>
    <x v="0"/>
    <n v="7"/>
    <n v="58"/>
  </r>
  <r>
    <n v="3328"/>
    <s v="Klara Costa"/>
    <x v="2"/>
    <d v="2024-06-02T00:00:00"/>
    <x v="1"/>
    <n v="10"/>
    <x v="1"/>
    <s v="No"/>
    <s v="-"/>
    <x v="0"/>
    <x v="0"/>
    <n v="10"/>
    <n v="20"/>
  </r>
  <r>
    <n v="3329"/>
    <s v="Luciana Mendes"/>
    <x v="1"/>
    <d v="2024-06-03T00:00:00"/>
    <x v="0"/>
    <n v="5"/>
    <x v="2"/>
    <s v="No"/>
    <s v="-"/>
    <x v="1"/>
    <x v="1"/>
    <n v="1"/>
    <n v="4"/>
  </r>
  <r>
    <n v="3330"/>
    <s v="Marcelo Gouveia"/>
    <x v="0"/>
    <d v="2024-06-04T00:00:00"/>
    <x v="1"/>
    <n v="15"/>
    <x v="0"/>
    <s v="Yes"/>
    <n v="30"/>
    <x v="0"/>
    <x v="0"/>
    <n v="15"/>
    <n v="50"/>
  </r>
  <r>
    <n v="3331"/>
    <s v="Nívea Borges"/>
    <x v="2"/>
    <d v="2024-06-05T00:00:00"/>
    <x v="0"/>
    <n v="10"/>
    <x v="0"/>
    <s v="No"/>
    <s v="-"/>
    <x v="0"/>
    <x v="0"/>
    <n v="5"/>
    <n v="25"/>
  </r>
  <r>
    <n v="3332"/>
    <s v="Oscar Nogueira"/>
    <x v="1"/>
    <d v="2024-06-06T00:00:00"/>
    <x v="1"/>
    <n v="5"/>
    <x v="1"/>
    <s v="No"/>
    <s v="-"/>
    <x v="1"/>
    <x v="1"/>
    <n v="0"/>
    <n v="5"/>
  </r>
  <r>
    <n v="3333"/>
    <s v="Patrícia Alves"/>
    <x v="0"/>
    <d v="2024-06-07T00:00:00"/>
    <x v="0"/>
    <n v="15"/>
    <x v="2"/>
    <s v="Yes"/>
    <n v="30"/>
    <x v="0"/>
    <x v="0"/>
    <n v="20"/>
    <n v="45"/>
  </r>
  <r>
    <n v="3334"/>
    <s v="Rafaela Silva"/>
    <x v="2"/>
    <d v="2024-06-08T00:00:00"/>
    <x v="1"/>
    <n v="10"/>
    <x v="2"/>
    <s v="No"/>
    <s v="-"/>
    <x v="0"/>
    <x v="0"/>
    <n v="12"/>
    <n v="18"/>
  </r>
  <r>
    <n v="3335"/>
    <s v="Samantha Moraes"/>
    <x v="1"/>
    <d v="2024-06-09T00:00:00"/>
    <x v="0"/>
    <n v="5"/>
    <x v="0"/>
    <s v="No"/>
    <s v="-"/>
    <x v="1"/>
    <x v="1"/>
    <n v="2"/>
    <n v="3"/>
  </r>
  <r>
    <n v="3336"/>
    <s v="Tatiana Rocha"/>
    <x v="1"/>
    <d v="2024-06-10T00:00:00"/>
    <x v="0"/>
    <n v="5"/>
    <x v="0"/>
    <s v="No"/>
    <s v="-"/>
    <x v="1"/>
    <x v="1"/>
    <n v="0"/>
    <n v="5"/>
  </r>
  <r>
    <n v="3337"/>
    <s v="Ulisses Tavares"/>
    <x v="0"/>
    <d v="2024-06-11T00:00:00"/>
    <x v="1"/>
    <n v="15"/>
    <x v="2"/>
    <s v="Yes"/>
    <n v="30"/>
    <x v="0"/>
    <x v="0"/>
    <n v="7"/>
    <n v="58"/>
  </r>
  <r>
    <n v="3338"/>
    <s v="Víctor Lemos"/>
    <x v="2"/>
    <d v="2024-06-12T00:00:00"/>
    <x v="0"/>
    <n v="10"/>
    <x v="1"/>
    <s v="No"/>
    <s v="-"/>
    <x v="0"/>
    <x v="0"/>
    <n v="10"/>
    <n v="20"/>
  </r>
  <r>
    <n v="3339"/>
    <s v="Wilma Barros"/>
    <x v="1"/>
    <d v="2024-06-13T00:00:00"/>
    <x v="1"/>
    <n v="5"/>
    <x v="2"/>
    <s v="No"/>
    <s v="-"/>
    <x v="1"/>
    <x v="1"/>
    <n v="1"/>
    <n v="4"/>
  </r>
  <r>
    <n v="3340"/>
    <s v="Xavier Nascimento"/>
    <x v="0"/>
    <d v="2024-06-14T00:00:00"/>
    <x v="0"/>
    <n v="15"/>
    <x v="0"/>
    <s v="Yes"/>
    <n v="30"/>
    <x v="0"/>
    <x v="0"/>
    <n v="15"/>
    <n v="50"/>
  </r>
  <r>
    <n v="3341"/>
    <s v="Yago Pereira"/>
    <x v="2"/>
    <d v="2024-06-15T00:00:00"/>
    <x v="1"/>
    <n v="10"/>
    <x v="0"/>
    <s v="No"/>
    <s v="-"/>
    <x v="0"/>
    <x v="0"/>
    <n v="5"/>
    <n v="25"/>
  </r>
  <r>
    <n v="3342"/>
    <s v="Zilda Ferreira"/>
    <x v="1"/>
    <d v="2024-06-16T00:00:00"/>
    <x v="0"/>
    <n v="5"/>
    <x v="1"/>
    <s v="No"/>
    <s v="-"/>
    <x v="1"/>
    <x v="1"/>
    <n v="0"/>
    <n v="5"/>
  </r>
  <r>
    <n v="3343"/>
    <s v="Amanda Lopes"/>
    <x v="0"/>
    <d v="2024-06-17T00:00:00"/>
    <x v="1"/>
    <n v="15"/>
    <x v="2"/>
    <s v="Yes"/>
    <n v="30"/>
    <x v="0"/>
    <x v="0"/>
    <n v="20"/>
    <n v="45"/>
  </r>
  <r>
    <n v="3344"/>
    <s v="Bruno Miranda"/>
    <x v="2"/>
    <d v="2024-06-18T00:00:00"/>
    <x v="0"/>
    <n v="10"/>
    <x v="2"/>
    <s v="No"/>
    <s v="-"/>
    <x v="0"/>
    <x v="0"/>
    <n v="12"/>
    <n v="18"/>
  </r>
  <r>
    <n v="3345"/>
    <s v="Célia Torres"/>
    <x v="1"/>
    <d v="2024-06-19T00:00:00"/>
    <x v="1"/>
    <n v="5"/>
    <x v="0"/>
    <s v="No"/>
    <s v="-"/>
    <x v="1"/>
    <x v="1"/>
    <n v="2"/>
    <n v="3"/>
  </r>
  <r>
    <n v="3346"/>
    <s v="Diogo Souza"/>
    <x v="0"/>
    <d v="2024-06-20T00:00:00"/>
    <x v="0"/>
    <n v="15"/>
    <x v="1"/>
    <s v="Yes"/>
    <n v="30"/>
    <x v="0"/>
    <x v="0"/>
    <n v="5"/>
    <n v="60"/>
  </r>
  <r>
    <n v="3347"/>
    <s v="Elisa Castro"/>
    <x v="2"/>
    <d v="2024-06-21T00:00:00"/>
    <x v="1"/>
    <n v="10"/>
    <x v="0"/>
    <s v="No"/>
    <s v="-"/>
    <x v="0"/>
    <x v="0"/>
    <n v="10"/>
    <n v="20"/>
  </r>
  <r>
    <n v="3348"/>
    <s v="Fátima Lima"/>
    <x v="1"/>
    <d v="2024-06-22T00:00:00"/>
    <x v="0"/>
    <n v="5"/>
    <x v="2"/>
    <s v="No"/>
    <s v="-"/>
    <x v="1"/>
    <x v="1"/>
    <n v="0"/>
    <n v="5"/>
  </r>
  <r>
    <n v="3349"/>
    <s v="Geraldo Ribeiro"/>
    <x v="0"/>
    <d v="2024-06-23T00:00:00"/>
    <x v="1"/>
    <n v="15"/>
    <x v="0"/>
    <s v="Yes"/>
    <n v="30"/>
    <x v="0"/>
    <x v="0"/>
    <n v="3"/>
    <n v="62"/>
  </r>
  <r>
    <n v="3350"/>
    <s v="Hélio Martins"/>
    <x v="2"/>
    <d v="2024-06-24T00:00:00"/>
    <x v="0"/>
    <n v="10"/>
    <x v="1"/>
    <s v="No"/>
    <s v="-"/>
    <x v="0"/>
    <x v="0"/>
    <n v="15"/>
    <n v="15"/>
  </r>
  <r>
    <n v="3351"/>
    <s v="Íris Santos"/>
    <x v="1"/>
    <d v="2024-06-25T00:00:00"/>
    <x v="1"/>
    <n v="5"/>
    <x v="0"/>
    <s v="No"/>
    <s v="-"/>
    <x v="1"/>
    <x v="1"/>
    <n v="1"/>
    <n v="4"/>
  </r>
  <r>
    <n v="3352"/>
    <s v="João Marcelo"/>
    <x v="0"/>
    <d v="2024-06-26T00:00:00"/>
    <x v="0"/>
    <n v="15"/>
    <x v="2"/>
    <s v="Yes"/>
    <n v="30"/>
    <x v="0"/>
    <x v="0"/>
    <n v="7"/>
    <n v="58"/>
  </r>
  <r>
    <n v="3353"/>
    <s v="Larissa Gomes"/>
    <x v="2"/>
    <d v="2024-06-27T00:00:00"/>
    <x v="1"/>
    <n v="10"/>
    <x v="0"/>
    <s v="No"/>
    <s v="-"/>
    <x v="0"/>
    <x v="0"/>
    <n v="10"/>
    <n v="20"/>
  </r>
  <r>
    <n v="3354"/>
    <s v="Márcio Silva"/>
    <x v="1"/>
    <d v="2024-06-28T00:00:00"/>
    <x v="0"/>
    <n v="5"/>
    <x v="1"/>
    <s v="No"/>
    <s v="-"/>
    <x v="1"/>
    <x v="1"/>
    <n v="0"/>
    <n v="5"/>
  </r>
  <r>
    <n v="3355"/>
    <s v="Nadia Costa"/>
    <x v="0"/>
    <d v="2024-06-29T00:00:00"/>
    <x v="1"/>
    <n v="15"/>
    <x v="0"/>
    <s v="Yes"/>
    <n v="30"/>
    <x v="0"/>
    <x v="0"/>
    <n v="20"/>
    <n v="45"/>
  </r>
  <r>
    <n v="3356"/>
    <s v="Oscar Almeida"/>
    <x v="2"/>
    <d v="2024-06-30T00:00:00"/>
    <x v="0"/>
    <n v="10"/>
    <x v="2"/>
    <s v="No"/>
    <s v="-"/>
    <x v="0"/>
    <x v="0"/>
    <n v="15"/>
    <n v="15"/>
  </r>
  <r>
    <n v="3357"/>
    <s v="Patricia Soares"/>
    <x v="1"/>
    <d v="2024-07-01T00:00:00"/>
    <x v="1"/>
    <n v="5"/>
    <x v="0"/>
    <s v="No"/>
    <s v="-"/>
    <x v="1"/>
    <x v="1"/>
    <n v="1"/>
    <n v="4"/>
  </r>
  <r>
    <n v="3358"/>
    <s v="Quênia Barros"/>
    <x v="0"/>
    <d v="2024-07-02T00:00:00"/>
    <x v="0"/>
    <n v="15"/>
    <x v="1"/>
    <s v="Yes"/>
    <n v="30"/>
    <x v="0"/>
    <x v="0"/>
    <n v="3"/>
    <n v="62"/>
  </r>
  <r>
    <n v="3359"/>
    <s v="Rafael Torres"/>
    <x v="2"/>
    <d v="2024-07-03T00:00:00"/>
    <x v="1"/>
    <n v="10"/>
    <x v="0"/>
    <s v="No"/>
    <s v="-"/>
    <x v="0"/>
    <x v="0"/>
    <n v="10"/>
    <n v="20"/>
  </r>
  <r>
    <n v="3360"/>
    <s v="Silvia Nascimento"/>
    <x v="1"/>
    <d v="2024-07-04T00:00:00"/>
    <x v="0"/>
    <n v="5"/>
    <x v="2"/>
    <s v="No"/>
    <s v="-"/>
    <x v="1"/>
    <x v="1"/>
    <n v="0"/>
    <n v="5"/>
  </r>
  <r>
    <n v="3361"/>
    <s v="Tiago Mendes"/>
    <x v="0"/>
    <d v="2024-07-05T00:00:00"/>
    <x v="1"/>
    <n v="15"/>
    <x v="0"/>
    <s v="Yes"/>
    <n v="30"/>
    <x v="0"/>
    <x v="0"/>
    <n v="15"/>
    <n v="50"/>
  </r>
  <r>
    <n v="3362"/>
    <s v="Ursula Silva"/>
    <x v="2"/>
    <d v="2024-07-06T00:00:00"/>
    <x v="0"/>
    <n v="10"/>
    <x v="1"/>
    <s v="No"/>
    <s v="-"/>
    <x v="0"/>
    <x v="0"/>
    <n v="15"/>
    <n v="15"/>
  </r>
  <r>
    <n v="3363"/>
    <s v="Vanessa Moraes"/>
    <x v="1"/>
    <d v="2024-07-07T00:00:00"/>
    <x v="1"/>
    <n v="5"/>
    <x v="0"/>
    <s v="No"/>
    <s v="-"/>
    <x v="1"/>
    <x v="1"/>
    <n v="1"/>
    <n v="4"/>
  </r>
  <r>
    <n v="3364"/>
    <s v="Waldir Junior"/>
    <x v="0"/>
    <d v="2024-07-08T00:00:00"/>
    <x v="0"/>
    <n v="15"/>
    <x v="2"/>
    <s v="Yes"/>
    <n v="30"/>
    <x v="0"/>
    <x v="0"/>
    <n v="7"/>
    <n v="58"/>
  </r>
  <r>
    <n v="3365"/>
    <s v="Xavier Lopes"/>
    <x v="2"/>
    <d v="2024-07-09T00:00:00"/>
    <x v="1"/>
    <n v="10"/>
    <x v="0"/>
    <s v="No"/>
    <s v="-"/>
    <x v="0"/>
    <x v="0"/>
    <n v="10"/>
    <n v="20"/>
  </r>
  <r>
    <n v="3366"/>
    <s v="Yolanda Freitas"/>
    <x v="1"/>
    <d v="2024-07-10T00:00:00"/>
    <x v="0"/>
    <n v="5"/>
    <x v="0"/>
    <s v="No"/>
    <s v="-"/>
    <x v="1"/>
    <x v="1"/>
    <n v="0"/>
    <n v="5"/>
  </r>
  <r>
    <n v="3367"/>
    <s v="Zacarias Nunes"/>
    <x v="0"/>
    <d v="2024-07-11T00:00:00"/>
    <x v="1"/>
    <n v="15"/>
    <x v="2"/>
    <s v="Yes"/>
    <n v="30"/>
    <x v="0"/>
    <x v="0"/>
    <n v="7"/>
    <n v="58"/>
  </r>
  <r>
    <n v="3368"/>
    <s v="Ana Clara Barreto"/>
    <x v="2"/>
    <d v="2024-07-12T00:00:00"/>
    <x v="0"/>
    <n v="10"/>
    <x v="1"/>
    <s v="No"/>
    <s v="-"/>
    <x v="0"/>
    <x v="0"/>
    <n v="10"/>
    <n v="20"/>
  </r>
  <r>
    <n v="3369"/>
    <s v="Bruno Henrique"/>
    <x v="1"/>
    <d v="2024-07-13T00:00:00"/>
    <x v="1"/>
    <n v="5"/>
    <x v="2"/>
    <s v="No"/>
    <s v="-"/>
    <x v="1"/>
    <x v="1"/>
    <n v="1"/>
    <n v="4"/>
  </r>
  <r>
    <n v="3370"/>
    <s v="Carlos Eduardo"/>
    <x v="0"/>
    <d v="2024-07-14T00:00:00"/>
    <x v="0"/>
    <n v="15"/>
    <x v="0"/>
    <s v="Yes"/>
    <n v="30"/>
    <x v="0"/>
    <x v="0"/>
    <n v="15"/>
    <n v="50"/>
  </r>
  <r>
    <n v="3371"/>
    <s v="Débora Lima"/>
    <x v="2"/>
    <d v="2024-07-15T00:00:00"/>
    <x v="1"/>
    <n v="10"/>
    <x v="0"/>
    <s v="No"/>
    <s v="-"/>
    <x v="0"/>
    <x v="0"/>
    <n v="5"/>
    <n v="25"/>
  </r>
  <r>
    <n v="3372"/>
    <s v="Elisa Neves"/>
    <x v="1"/>
    <d v="2024-07-16T00:00:00"/>
    <x v="0"/>
    <n v="5"/>
    <x v="1"/>
    <s v="No"/>
    <s v="-"/>
    <x v="1"/>
    <x v="1"/>
    <n v="0"/>
    <n v="5"/>
  </r>
  <r>
    <n v="3373"/>
    <s v="Fabiano Gomes"/>
    <x v="0"/>
    <d v="2024-07-17T00:00:00"/>
    <x v="1"/>
    <n v="15"/>
    <x v="2"/>
    <s v="Yes"/>
    <n v="30"/>
    <x v="0"/>
    <x v="0"/>
    <n v="20"/>
    <n v="45"/>
  </r>
  <r>
    <n v="3374"/>
    <s v="Gisele Oliveira"/>
    <x v="2"/>
    <d v="2024-07-18T00:00:00"/>
    <x v="0"/>
    <n v="10"/>
    <x v="2"/>
    <s v="No"/>
    <s v="-"/>
    <x v="0"/>
    <x v="0"/>
    <n v="12"/>
    <n v="18"/>
  </r>
  <r>
    <n v="3375"/>
    <s v="Héctor Silva"/>
    <x v="1"/>
    <d v="2024-07-19T00:00:00"/>
    <x v="1"/>
    <n v="5"/>
    <x v="0"/>
    <s v="No"/>
    <s v="-"/>
    <x v="1"/>
    <x v="1"/>
    <n v="2"/>
    <n v="3"/>
  </r>
  <r>
    <n v="3376"/>
    <s v="Igor Martins"/>
    <x v="0"/>
    <d v="2024-07-20T00:00:00"/>
    <x v="0"/>
    <n v="15"/>
    <x v="1"/>
    <s v="Yes"/>
    <n v="30"/>
    <x v="0"/>
    <x v="0"/>
    <n v="5"/>
    <n v="60"/>
  </r>
  <r>
    <n v="3377"/>
    <s v="Joana Figueiredo"/>
    <x v="2"/>
    <d v="2024-07-21T00:00:00"/>
    <x v="1"/>
    <n v="10"/>
    <x v="0"/>
    <s v="No"/>
    <s v="-"/>
    <x v="0"/>
    <x v="0"/>
    <n v="10"/>
    <n v="20"/>
  </r>
  <r>
    <n v="3378"/>
    <s v="Kleber Machado"/>
    <x v="1"/>
    <d v="2024-07-22T00:00:00"/>
    <x v="0"/>
    <n v="5"/>
    <x v="2"/>
    <s v="No"/>
    <s v="-"/>
    <x v="1"/>
    <x v="1"/>
    <n v="0"/>
    <n v="5"/>
  </r>
  <r>
    <n v="3379"/>
    <s v="Luciana Santos"/>
    <x v="0"/>
    <d v="2024-07-23T00:00:00"/>
    <x v="1"/>
    <n v="15"/>
    <x v="0"/>
    <s v="Yes"/>
    <n v="30"/>
    <x v="0"/>
    <x v="0"/>
    <n v="3"/>
    <n v="62"/>
  </r>
  <r>
    <n v="3380"/>
    <s v="Marcos Teixeira"/>
    <x v="2"/>
    <d v="2024-07-24T00:00:00"/>
    <x v="0"/>
    <n v="10"/>
    <x v="1"/>
    <s v="No"/>
    <s v="-"/>
    <x v="0"/>
    <x v="0"/>
    <n v="15"/>
    <n v="15"/>
  </r>
  <r>
    <n v="3381"/>
    <s v="Natalia Costa"/>
    <x v="1"/>
    <d v="2024-07-25T00:00:00"/>
    <x v="1"/>
    <n v="5"/>
    <x v="0"/>
    <s v="No"/>
    <s v="-"/>
    <x v="1"/>
    <x v="1"/>
    <n v="1"/>
    <n v="4"/>
  </r>
  <r>
    <n v="3382"/>
    <s v="Oscar Ribeiro"/>
    <x v="0"/>
    <d v="2024-07-26T00:00:00"/>
    <x v="0"/>
    <n v="15"/>
    <x v="2"/>
    <s v="Yes"/>
    <n v="30"/>
    <x v="0"/>
    <x v="0"/>
    <n v="7"/>
    <n v="58"/>
  </r>
  <r>
    <n v="3383"/>
    <s v="Patricia Almeida"/>
    <x v="2"/>
    <d v="2024-07-27T00:00:00"/>
    <x v="1"/>
    <n v="10"/>
    <x v="0"/>
    <s v="No"/>
    <s v="-"/>
    <x v="0"/>
    <x v="0"/>
    <n v="10"/>
    <n v="20"/>
  </r>
  <r>
    <n v="3384"/>
    <s v="Quirino Junior"/>
    <x v="1"/>
    <d v="2024-07-28T00:00:00"/>
    <x v="0"/>
    <n v="5"/>
    <x v="1"/>
    <s v="No"/>
    <s v="-"/>
    <x v="1"/>
    <x v="1"/>
    <n v="0"/>
    <n v="5"/>
  </r>
  <r>
    <n v="3385"/>
    <s v="Renata Machado"/>
    <x v="0"/>
    <d v="2024-07-29T00:00:00"/>
    <x v="1"/>
    <n v="15"/>
    <x v="0"/>
    <s v="Yes"/>
    <n v="30"/>
    <x v="0"/>
    <x v="0"/>
    <n v="20"/>
    <n v="45"/>
  </r>
  <r>
    <n v="3386"/>
    <s v="Sônia Alves"/>
    <x v="2"/>
    <d v="2024-07-30T00:00:00"/>
    <x v="0"/>
    <n v="10"/>
    <x v="2"/>
    <s v="No"/>
    <s v="-"/>
    <x v="0"/>
    <x v="0"/>
    <n v="15"/>
    <n v="15"/>
  </r>
  <r>
    <n v="3387"/>
    <s v="Tiago Nunes"/>
    <x v="1"/>
    <d v="2024-07-31T00:00:00"/>
    <x v="1"/>
    <n v="5"/>
    <x v="0"/>
    <s v="No"/>
    <s v="-"/>
    <x v="1"/>
    <x v="1"/>
    <n v="1"/>
    <n v="4"/>
  </r>
  <r>
    <n v="3388"/>
    <s v="Ulysses Pereira"/>
    <x v="0"/>
    <d v="2024-08-01T00:00:00"/>
    <x v="0"/>
    <n v="15"/>
    <x v="1"/>
    <s v="Yes"/>
    <n v="30"/>
    <x v="0"/>
    <x v="0"/>
    <n v="3"/>
    <n v="62"/>
  </r>
  <r>
    <n v="3389"/>
    <s v="Vanessa Lima"/>
    <x v="2"/>
    <d v="2024-08-02T00:00:00"/>
    <x v="1"/>
    <n v="10"/>
    <x v="0"/>
    <s v="No"/>
    <s v="-"/>
    <x v="0"/>
    <x v="0"/>
    <n v="10"/>
    <n v="20"/>
  </r>
  <r>
    <n v="3390"/>
    <s v="Wagner Santos"/>
    <x v="1"/>
    <d v="2024-08-03T00:00:00"/>
    <x v="0"/>
    <n v="5"/>
    <x v="2"/>
    <s v="No"/>
    <s v="-"/>
    <x v="1"/>
    <x v="1"/>
    <n v="0"/>
    <n v="5"/>
  </r>
  <r>
    <n v="3391"/>
    <s v="Xuxa Meneghel"/>
    <x v="0"/>
    <d v="2024-08-04T00:00:00"/>
    <x v="1"/>
    <n v="15"/>
    <x v="0"/>
    <s v="Yes"/>
    <n v="30"/>
    <x v="0"/>
    <x v="0"/>
    <n v="15"/>
    <n v="50"/>
  </r>
  <r>
    <n v="3392"/>
    <s v="Yasmin Silva"/>
    <x v="2"/>
    <d v="2024-08-05T00:00:00"/>
    <x v="0"/>
    <n v="10"/>
    <x v="1"/>
    <s v="No"/>
    <s v="-"/>
    <x v="0"/>
    <x v="0"/>
    <n v="15"/>
    <n v="15"/>
  </r>
  <r>
    <n v="3393"/>
    <s v="Zacarias de Souza"/>
    <x v="1"/>
    <d v="2024-08-06T00:00:00"/>
    <x v="1"/>
    <n v="5"/>
    <x v="0"/>
    <s v="No"/>
    <s v="-"/>
    <x v="1"/>
    <x v="1"/>
    <n v="1"/>
    <n v="4"/>
  </r>
  <r>
    <n v="3394"/>
    <s v="André Lima"/>
    <x v="0"/>
    <d v="2024-08-07T00:00:00"/>
    <x v="0"/>
    <n v="15"/>
    <x v="2"/>
    <s v="Yes"/>
    <n v="30"/>
    <x v="0"/>
    <x v="0"/>
    <n v="7"/>
    <n v="58"/>
  </r>
  <r>
    <n v="3395"/>
    <s v="Bianca Freitas"/>
    <x v="2"/>
    <d v="2024-08-08T00:00:00"/>
    <x v="1"/>
    <n v="10"/>
    <x v="0"/>
    <s v="No"/>
    <s v="-"/>
    <x v="0"/>
    <x v="0"/>
    <n v="10"/>
    <n v="20"/>
  </r>
  <r>
    <n v="3396"/>
    <s v="Caio Mendes"/>
    <x v="1"/>
    <d v="2024-08-09T00:00:00"/>
    <x v="0"/>
    <n v="5"/>
    <x v="1"/>
    <s v="No"/>
    <s v="-"/>
    <x v="1"/>
    <x v="1"/>
    <n v="0"/>
    <n v="5"/>
  </r>
  <r>
    <n v="3397"/>
    <s v="Daniela Moura"/>
    <x v="0"/>
    <d v="2024-08-10T00:00:00"/>
    <x v="1"/>
    <n v="15"/>
    <x v="0"/>
    <s v="Yes"/>
    <n v="30"/>
    <x v="0"/>
    <x v="0"/>
    <n v="20"/>
    <n v="45"/>
  </r>
  <r>
    <n v="3398"/>
    <s v="Eduardo Costa"/>
    <x v="2"/>
    <d v="2024-08-11T00:00:00"/>
    <x v="0"/>
    <n v="10"/>
    <x v="2"/>
    <s v="No"/>
    <s v="-"/>
    <x v="0"/>
    <x v="0"/>
    <n v="15"/>
    <n v="15"/>
  </r>
  <r>
    <n v="3399"/>
    <s v="Fernanda Gomes"/>
    <x v="1"/>
    <d v="2024-08-12T00:00:00"/>
    <x v="1"/>
    <n v="5"/>
    <x v="0"/>
    <s v="No"/>
    <s v="-"/>
    <x v="1"/>
    <x v="1"/>
    <n v="1"/>
    <n v="4"/>
  </r>
  <r>
    <n v="3400"/>
    <s v="Guilherme Souza"/>
    <x v="0"/>
    <d v="2024-08-13T00:00:00"/>
    <x v="0"/>
    <n v="15"/>
    <x v="1"/>
    <s v="Yes"/>
    <n v="30"/>
    <x v="0"/>
    <x v="0"/>
    <n v="5"/>
    <n v="60"/>
  </r>
  <r>
    <n v="3401"/>
    <s v="Helena Ribeiro"/>
    <x v="2"/>
    <d v="2024-08-14T00:00:00"/>
    <x v="1"/>
    <n v="10"/>
    <x v="0"/>
    <s v="No"/>
    <s v="-"/>
    <x v="0"/>
    <x v="0"/>
    <n v="10"/>
    <n v="20"/>
  </r>
  <r>
    <n v="3402"/>
    <s v="Igor Santos"/>
    <x v="1"/>
    <d v="2024-08-15T00:00:00"/>
    <x v="0"/>
    <n v="5"/>
    <x v="2"/>
    <s v="No"/>
    <s v="-"/>
    <x v="1"/>
    <x v="1"/>
    <n v="0"/>
    <n v="5"/>
  </r>
  <r>
    <n v="3403"/>
    <s v="João Carvalho"/>
    <x v="0"/>
    <d v="2024-08-16T00:00:00"/>
    <x v="1"/>
    <n v="15"/>
    <x v="0"/>
    <s v="Yes"/>
    <n v="30"/>
    <x v="0"/>
    <x v="0"/>
    <n v="3"/>
    <n v="62"/>
  </r>
  <r>
    <n v="3404"/>
    <s v="Klara Fagundes"/>
    <x v="2"/>
    <d v="2024-08-17T00:00:00"/>
    <x v="0"/>
    <n v="10"/>
    <x v="1"/>
    <s v="No"/>
    <s v="-"/>
    <x v="0"/>
    <x v="0"/>
    <n v="15"/>
    <n v="15"/>
  </r>
  <r>
    <n v="3405"/>
    <s v="Lúcia Mendonça"/>
    <x v="1"/>
    <d v="2024-08-18T00:00:00"/>
    <x v="1"/>
    <n v="5"/>
    <x v="0"/>
    <s v="No"/>
    <s v="-"/>
    <x v="1"/>
    <x v="1"/>
    <n v="1"/>
    <n v="4"/>
  </r>
  <r>
    <n v="3406"/>
    <s v="Marcelo Novaes"/>
    <x v="1"/>
    <d v="2024-08-19T00:00:00"/>
    <x v="0"/>
    <n v="5"/>
    <x v="0"/>
    <s v="No"/>
    <s v="-"/>
    <x v="1"/>
    <x v="1"/>
    <n v="0"/>
    <n v="5"/>
  </r>
  <r>
    <n v="3407"/>
    <s v="Nina Pacheco"/>
    <x v="0"/>
    <d v="2024-08-20T00:00:00"/>
    <x v="1"/>
    <n v="15"/>
    <x v="2"/>
    <s v="Yes"/>
    <n v="30"/>
    <x v="0"/>
    <x v="0"/>
    <n v="7"/>
    <n v="58"/>
  </r>
  <r>
    <n v="3408"/>
    <s v="Olívia Rios"/>
    <x v="2"/>
    <d v="2024-08-21T00:00:00"/>
    <x v="0"/>
    <n v="10"/>
    <x v="1"/>
    <s v="No"/>
    <s v="-"/>
    <x v="0"/>
    <x v="0"/>
    <n v="10"/>
    <n v="20"/>
  </r>
  <r>
    <n v="3409"/>
    <s v="Paulo Quintana"/>
    <x v="1"/>
    <d v="2024-08-22T00:00:00"/>
    <x v="1"/>
    <n v="5"/>
    <x v="2"/>
    <s v="No"/>
    <s v="-"/>
    <x v="1"/>
    <x v="1"/>
    <n v="1"/>
    <n v="4"/>
  </r>
  <r>
    <n v="3410"/>
    <s v="Raquel Domingos"/>
    <x v="0"/>
    <d v="2024-08-23T00:00:00"/>
    <x v="0"/>
    <n v="15"/>
    <x v="0"/>
    <s v="Yes"/>
    <n v="30"/>
    <x v="0"/>
    <x v="0"/>
    <n v="15"/>
    <n v="50"/>
  </r>
  <r>
    <n v="3411"/>
    <s v="Samuel Viana"/>
    <x v="2"/>
    <d v="2024-08-24T00:00:00"/>
    <x v="1"/>
    <n v="10"/>
    <x v="0"/>
    <s v="No"/>
    <s v="-"/>
    <x v="0"/>
    <x v="0"/>
    <n v="5"/>
    <n v="25"/>
  </r>
  <r>
    <n v="3412"/>
    <s v="Tatiane Rocha"/>
    <x v="1"/>
    <d v="2024-08-25T00:00:00"/>
    <x v="0"/>
    <n v="5"/>
    <x v="1"/>
    <s v="No"/>
    <s v="-"/>
    <x v="1"/>
    <x v="1"/>
    <n v="0"/>
    <n v="5"/>
  </r>
  <r>
    <n v="3413"/>
    <s v="Ulysses Farias"/>
    <x v="0"/>
    <d v="2024-08-26T00:00:00"/>
    <x v="1"/>
    <n v="15"/>
    <x v="2"/>
    <s v="Yes"/>
    <n v="30"/>
    <x v="0"/>
    <x v="0"/>
    <n v="20"/>
    <n v="45"/>
  </r>
  <r>
    <n v="3414"/>
    <s v="Vanessa Moreira"/>
    <x v="2"/>
    <d v="2024-08-27T00:00:00"/>
    <x v="0"/>
    <n v="10"/>
    <x v="2"/>
    <s v="No"/>
    <s v="-"/>
    <x v="0"/>
    <x v="0"/>
    <n v="12"/>
    <n v="18"/>
  </r>
  <r>
    <n v="3415"/>
    <s v="William Carvalho"/>
    <x v="1"/>
    <d v="2024-08-28T00:00:00"/>
    <x v="1"/>
    <n v="5"/>
    <x v="0"/>
    <s v="No"/>
    <s v="-"/>
    <x v="1"/>
    <x v="1"/>
    <n v="2"/>
    <n v="3"/>
  </r>
  <r>
    <n v="3416"/>
    <s v="Ximena Barros"/>
    <x v="0"/>
    <d v="2024-08-29T00:00:00"/>
    <x v="0"/>
    <n v="15"/>
    <x v="1"/>
    <s v="Yes"/>
    <n v="30"/>
    <x v="0"/>
    <x v="0"/>
    <n v="5"/>
    <n v="60"/>
  </r>
  <r>
    <n v="3417"/>
    <s v="Yara Machado"/>
    <x v="2"/>
    <d v="2024-08-30T00:00:00"/>
    <x v="1"/>
    <n v="10"/>
    <x v="0"/>
    <s v="No"/>
    <s v="-"/>
    <x v="0"/>
    <x v="0"/>
    <n v="10"/>
    <n v="20"/>
  </r>
  <r>
    <n v="3418"/>
    <s v="Zacarias Costa"/>
    <x v="1"/>
    <d v="2024-08-31T00:00:00"/>
    <x v="0"/>
    <n v="5"/>
    <x v="2"/>
    <s v="No"/>
    <s v="-"/>
    <x v="1"/>
    <x v="1"/>
    <n v="0"/>
    <n v="5"/>
  </r>
  <r>
    <n v="3419"/>
    <s v="André Lopes"/>
    <x v="0"/>
    <d v="2024-09-01T00:00:00"/>
    <x v="1"/>
    <n v="15"/>
    <x v="0"/>
    <s v="Yes"/>
    <n v="30"/>
    <x v="0"/>
    <x v="0"/>
    <n v="3"/>
    <n v="62"/>
  </r>
  <r>
    <n v="3420"/>
    <s v="Beatriz Souza"/>
    <x v="2"/>
    <d v="2024-09-02T00:00:00"/>
    <x v="0"/>
    <n v="10"/>
    <x v="1"/>
    <s v="No"/>
    <s v="-"/>
    <x v="0"/>
    <x v="0"/>
    <n v="15"/>
    <n v="15"/>
  </r>
  <r>
    <n v="3421"/>
    <s v="Caio Pereira"/>
    <x v="1"/>
    <d v="2024-09-03T00:00:00"/>
    <x v="1"/>
    <n v="5"/>
    <x v="0"/>
    <s v="No"/>
    <s v="-"/>
    <x v="1"/>
    <x v="1"/>
    <n v="1"/>
    <n v="4"/>
  </r>
  <r>
    <n v="3422"/>
    <s v="Daniela Araújo"/>
    <x v="0"/>
    <d v="2024-09-04T00:00:00"/>
    <x v="0"/>
    <n v="15"/>
    <x v="2"/>
    <s v="Yes"/>
    <n v="30"/>
    <x v="0"/>
    <x v="0"/>
    <n v="7"/>
    <n v="58"/>
  </r>
  <r>
    <n v="3423"/>
    <s v="Eduardo Santos"/>
    <x v="2"/>
    <d v="2024-09-05T00:00:00"/>
    <x v="1"/>
    <n v="10"/>
    <x v="0"/>
    <s v="No"/>
    <s v="-"/>
    <x v="0"/>
    <x v="0"/>
    <n v="10"/>
    <n v="20"/>
  </r>
  <r>
    <n v="3424"/>
    <s v="Fernanda Lima"/>
    <x v="1"/>
    <d v="2024-09-06T00:00:00"/>
    <x v="0"/>
    <n v="5"/>
    <x v="1"/>
    <s v="No"/>
    <s v="-"/>
    <x v="1"/>
    <x v="1"/>
    <n v="0"/>
    <n v="5"/>
  </r>
  <r>
    <n v="3425"/>
    <s v="Gabriel Teixeira"/>
    <x v="0"/>
    <d v="2024-09-07T00:00:00"/>
    <x v="1"/>
    <n v="15"/>
    <x v="0"/>
    <s v="Yes"/>
    <n v="30"/>
    <x v="0"/>
    <x v="0"/>
    <n v="20"/>
    <n v="45"/>
  </r>
  <r>
    <n v="3426"/>
    <s v="Helena Ribeiro"/>
    <x v="2"/>
    <d v="2024-09-08T00:00:00"/>
    <x v="0"/>
    <n v="10"/>
    <x v="2"/>
    <s v="No"/>
    <s v="-"/>
    <x v="0"/>
    <x v="0"/>
    <n v="15"/>
    <n v="15"/>
  </r>
  <r>
    <n v="3427"/>
    <s v="Igor Mendes"/>
    <x v="1"/>
    <d v="2024-09-09T00:00:00"/>
    <x v="1"/>
    <n v="5"/>
    <x v="0"/>
    <s v="No"/>
    <s v="-"/>
    <x v="1"/>
    <x v="1"/>
    <n v="1"/>
    <n v="4"/>
  </r>
  <r>
    <n v="3428"/>
    <s v="Joana Silveira"/>
    <x v="0"/>
    <d v="2024-09-10T00:00:00"/>
    <x v="0"/>
    <n v="15"/>
    <x v="1"/>
    <s v="Yes"/>
    <n v="30"/>
    <x v="0"/>
    <x v="0"/>
    <n v="3"/>
    <n v="62"/>
  </r>
  <r>
    <n v="3429"/>
    <s v="Lucas Martins"/>
    <x v="2"/>
    <d v="2024-09-11T00:00:00"/>
    <x v="1"/>
    <n v="10"/>
    <x v="0"/>
    <s v="No"/>
    <s v="-"/>
    <x v="0"/>
    <x v="0"/>
    <n v="10"/>
    <n v="20"/>
  </r>
  <r>
    <n v="3430"/>
    <s v="Marcela Gouveia"/>
    <x v="1"/>
    <d v="2024-09-12T00:00:00"/>
    <x v="0"/>
    <n v="5"/>
    <x v="2"/>
    <s v="No"/>
    <s v="-"/>
    <x v="1"/>
    <x v="1"/>
    <n v="0"/>
    <n v="5"/>
  </r>
  <r>
    <n v="3431"/>
    <s v="Nicolas Borges"/>
    <x v="0"/>
    <d v="2024-09-13T00:00:00"/>
    <x v="1"/>
    <n v="15"/>
    <x v="0"/>
    <s v="Yes"/>
    <n v="30"/>
    <x v="0"/>
    <x v="0"/>
    <n v="15"/>
    <n v="50"/>
  </r>
  <r>
    <n v="3432"/>
    <s v="Olivia Freitas"/>
    <x v="2"/>
    <d v="2024-09-14T00:00:00"/>
    <x v="0"/>
    <n v="10"/>
    <x v="1"/>
    <s v="No"/>
    <s v="-"/>
    <x v="0"/>
    <x v="0"/>
    <n v="15"/>
    <n v="15"/>
  </r>
  <r>
    <n v="3433"/>
    <s v="Paulo Nogueira"/>
    <x v="1"/>
    <d v="2024-09-15T00:00:00"/>
    <x v="1"/>
    <n v="5"/>
    <x v="0"/>
    <s v="No"/>
    <s v="-"/>
    <x v="1"/>
    <x v="1"/>
    <n v="1"/>
    <n v="4"/>
  </r>
  <r>
    <n v="3434"/>
    <s v="Raquel Andrade"/>
    <x v="0"/>
    <d v="2024-09-16T00:00:00"/>
    <x v="0"/>
    <n v="15"/>
    <x v="2"/>
    <s v="Yes"/>
    <n v="30"/>
    <x v="0"/>
    <x v="0"/>
    <n v="7"/>
    <n v="58"/>
  </r>
  <r>
    <n v="3435"/>
    <s v="Sônia Carvalho"/>
    <x v="2"/>
    <d v="2024-09-17T00:00:00"/>
    <x v="1"/>
    <n v="10"/>
    <x v="0"/>
    <s v="No"/>
    <s v="-"/>
    <x v="0"/>
    <x v="0"/>
    <n v="10"/>
    <n v="20"/>
  </r>
  <r>
    <n v="3436"/>
    <s v="Tiago Rodrigues"/>
    <x v="1"/>
    <d v="2024-09-18T00:00:00"/>
    <x v="0"/>
    <n v="5"/>
    <x v="0"/>
    <s v="No"/>
    <s v="-"/>
    <x v="1"/>
    <x v="1"/>
    <n v="0"/>
    <n v="5"/>
  </r>
  <r>
    <n v="3437"/>
    <s v="Ursula Monteiro"/>
    <x v="0"/>
    <d v="2024-09-19T00:00:00"/>
    <x v="1"/>
    <n v="15"/>
    <x v="2"/>
    <s v="Yes"/>
    <n v="30"/>
    <x v="0"/>
    <x v="0"/>
    <n v="7"/>
    <n v="58"/>
  </r>
  <r>
    <n v="3438"/>
    <s v="Vanessa Pereira"/>
    <x v="2"/>
    <d v="2024-09-20T00:00:00"/>
    <x v="0"/>
    <n v="10"/>
    <x v="1"/>
    <s v="No"/>
    <s v="-"/>
    <x v="0"/>
    <x v="0"/>
    <n v="10"/>
    <n v="20"/>
  </r>
  <r>
    <n v="3439"/>
    <s v="Walter Silva"/>
    <x v="1"/>
    <d v="2024-09-21T00:00:00"/>
    <x v="1"/>
    <n v="5"/>
    <x v="2"/>
    <s v="No"/>
    <s v="-"/>
    <x v="1"/>
    <x v="1"/>
    <n v="1"/>
    <n v="4"/>
  </r>
  <r>
    <n v="3440"/>
    <s v="Xavier Almeida"/>
    <x v="0"/>
    <d v="2024-09-22T00:00:00"/>
    <x v="0"/>
    <n v="15"/>
    <x v="0"/>
    <s v="Yes"/>
    <n v="30"/>
    <x v="0"/>
    <x v="0"/>
    <n v="15"/>
    <n v="50"/>
  </r>
  <r>
    <n v="3441"/>
    <s v="Yasmine Correia"/>
    <x v="2"/>
    <d v="2024-09-23T00:00:00"/>
    <x v="1"/>
    <n v="10"/>
    <x v="0"/>
    <s v="No"/>
    <s v="-"/>
    <x v="0"/>
    <x v="0"/>
    <n v="5"/>
    <n v="25"/>
  </r>
  <r>
    <n v="3442"/>
    <s v="Zacarias Almeida"/>
    <x v="1"/>
    <d v="2024-09-24T00:00:00"/>
    <x v="0"/>
    <n v="5"/>
    <x v="1"/>
    <s v="No"/>
    <s v="-"/>
    <x v="1"/>
    <x v="1"/>
    <n v="0"/>
    <n v="5"/>
  </r>
  <r>
    <n v="3443"/>
    <s v="Amanda Costa"/>
    <x v="0"/>
    <d v="2024-09-25T00:00:00"/>
    <x v="1"/>
    <n v="15"/>
    <x v="2"/>
    <s v="Yes"/>
    <n v="30"/>
    <x v="0"/>
    <x v="0"/>
    <n v="20"/>
    <n v="45"/>
  </r>
  <r>
    <n v="3444"/>
    <s v="Bruno Ferreira"/>
    <x v="2"/>
    <d v="2024-09-26T00:00:00"/>
    <x v="0"/>
    <n v="10"/>
    <x v="2"/>
    <s v="No"/>
    <s v="-"/>
    <x v="0"/>
    <x v="0"/>
    <n v="12"/>
    <n v="18"/>
  </r>
  <r>
    <n v="3445"/>
    <s v="Carla Dias"/>
    <x v="1"/>
    <d v="2024-09-27T00:00:00"/>
    <x v="1"/>
    <n v="5"/>
    <x v="0"/>
    <s v="No"/>
    <s v="-"/>
    <x v="1"/>
    <x v="1"/>
    <n v="2"/>
    <n v="3"/>
  </r>
  <r>
    <n v="3446"/>
    <s v="Diogo Martins"/>
    <x v="0"/>
    <d v="2024-09-28T00:00:00"/>
    <x v="0"/>
    <n v="15"/>
    <x v="1"/>
    <s v="Yes"/>
    <n v="30"/>
    <x v="0"/>
    <x v="0"/>
    <n v="5"/>
    <n v="60"/>
  </r>
  <r>
    <n v="3447"/>
    <s v="Elisa Campos"/>
    <x v="2"/>
    <d v="2024-09-29T00:00:00"/>
    <x v="1"/>
    <n v="10"/>
    <x v="0"/>
    <s v="No"/>
    <s v="-"/>
    <x v="0"/>
    <x v="0"/>
    <n v="10"/>
    <n v="20"/>
  </r>
  <r>
    <n v="3448"/>
    <s v="Fabiana Lima"/>
    <x v="1"/>
    <d v="2024-09-30T00:00:00"/>
    <x v="0"/>
    <n v="5"/>
    <x v="2"/>
    <s v="No"/>
    <s v="-"/>
    <x v="1"/>
    <x v="1"/>
    <n v="0"/>
    <n v="5"/>
  </r>
  <r>
    <n v="3449"/>
    <s v="Gabriel Santos"/>
    <x v="0"/>
    <d v="2024-10-01T00:00:00"/>
    <x v="1"/>
    <n v="15"/>
    <x v="0"/>
    <s v="Yes"/>
    <n v="30"/>
    <x v="0"/>
    <x v="0"/>
    <n v="3"/>
    <n v="62"/>
  </r>
  <r>
    <n v="3450"/>
    <s v="Helena Ferreira"/>
    <x v="2"/>
    <d v="2024-10-02T00:00:00"/>
    <x v="0"/>
    <n v="10"/>
    <x v="1"/>
    <s v="No"/>
    <s v="-"/>
    <x v="0"/>
    <x v="0"/>
    <n v="15"/>
    <n v="15"/>
  </r>
  <r>
    <n v="3451"/>
    <s v="Ígor Nunes"/>
    <x v="1"/>
    <d v="2024-10-03T00:00:00"/>
    <x v="1"/>
    <n v="5"/>
    <x v="0"/>
    <s v="No"/>
    <s v="-"/>
    <x v="1"/>
    <x v="1"/>
    <n v="1"/>
    <n v="4"/>
  </r>
  <r>
    <n v="3452"/>
    <s v="Joana Silveira"/>
    <x v="0"/>
    <d v="2024-10-04T00:00:00"/>
    <x v="0"/>
    <n v="15"/>
    <x v="2"/>
    <s v="Yes"/>
    <n v="30"/>
    <x v="0"/>
    <x v="0"/>
    <n v="7"/>
    <n v="58"/>
  </r>
  <r>
    <n v="3453"/>
    <s v="Kléber Oliveira"/>
    <x v="2"/>
    <d v="2024-10-05T00:00:00"/>
    <x v="1"/>
    <n v="10"/>
    <x v="0"/>
    <s v="No"/>
    <s v="-"/>
    <x v="0"/>
    <x v="0"/>
    <n v="10"/>
    <n v="20"/>
  </r>
  <r>
    <n v="3454"/>
    <s v="Luciana Morais"/>
    <x v="1"/>
    <d v="2024-10-06T00:00:00"/>
    <x v="0"/>
    <n v="5"/>
    <x v="1"/>
    <s v="No"/>
    <s v="-"/>
    <x v="1"/>
    <x v="1"/>
    <n v="0"/>
    <n v="5"/>
  </r>
  <r>
    <n v="3455"/>
    <s v="Marcos Vinícius"/>
    <x v="0"/>
    <d v="2024-10-07T00:00:00"/>
    <x v="1"/>
    <n v="15"/>
    <x v="0"/>
    <s v="Yes"/>
    <n v="30"/>
    <x v="0"/>
    <x v="0"/>
    <n v="20"/>
    <n v="45"/>
  </r>
  <r>
    <n v="3456"/>
    <s v="Natália Barros"/>
    <x v="2"/>
    <d v="2024-10-08T00:00:00"/>
    <x v="0"/>
    <n v="10"/>
    <x v="2"/>
    <s v="No"/>
    <s v="-"/>
    <x v="0"/>
    <x v="0"/>
    <n v="15"/>
    <n v="15"/>
  </r>
  <r>
    <n v="3457"/>
    <s v="Oscar Sampaio"/>
    <x v="1"/>
    <d v="2024-10-09T00:00:00"/>
    <x v="1"/>
    <n v="5"/>
    <x v="0"/>
    <s v="No"/>
    <s v="-"/>
    <x v="1"/>
    <x v="1"/>
    <n v="1"/>
    <n v="4"/>
  </r>
  <r>
    <n v="3458"/>
    <s v="Patrícia Leite"/>
    <x v="0"/>
    <d v="2024-10-10T00:00:00"/>
    <x v="0"/>
    <n v="15"/>
    <x v="1"/>
    <s v="Yes"/>
    <n v="30"/>
    <x v="0"/>
    <x v="0"/>
    <n v="3"/>
    <n v="62"/>
  </r>
  <r>
    <n v="3459"/>
    <s v="Quênia Rocha"/>
    <x v="2"/>
    <d v="2024-10-11T00:00:00"/>
    <x v="1"/>
    <n v="10"/>
    <x v="0"/>
    <s v="No"/>
    <s v="-"/>
    <x v="0"/>
    <x v="0"/>
    <n v="10"/>
    <n v="20"/>
  </r>
  <r>
    <n v="3460"/>
    <s v="Rafael Torres"/>
    <x v="1"/>
    <d v="2024-10-12T00:00:00"/>
    <x v="0"/>
    <n v="5"/>
    <x v="2"/>
    <s v="No"/>
    <s v="-"/>
    <x v="1"/>
    <x v="1"/>
    <n v="0"/>
    <n v="5"/>
  </r>
  <r>
    <n v="3461"/>
    <s v="Sandra Gouveia"/>
    <x v="0"/>
    <d v="2024-10-13T00:00:00"/>
    <x v="1"/>
    <n v="15"/>
    <x v="0"/>
    <s v="Yes"/>
    <n v="30"/>
    <x v="0"/>
    <x v="0"/>
    <n v="15"/>
    <n v="50"/>
  </r>
  <r>
    <n v="3462"/>
    <s v="Tiago Lacerda"/>
    <x v="2"/>
    <d v="2024-10-14T00:00:00"/>
    <x v="0"/>
    <n v="10"/>
    <x v="1"/>
    <s v="No"/>
    <s v="-"/>
    <x v="0"/>
    <x v="0"/>
    <n v="15"/>
    <n v="15"/>
  </r>
  <r>
    <n v="3463"/>
    <s v="Ursula Fonseca"/>
    <x v="1"/>
    <d v="2024-10-15T00:00:00"/>
    <x v="1"/>
    <n v="5"/>
    <x v="0"/>
    <s v="No"/>
    <s v="-"/>
    <x v="1"/>
    <x v="1"/>
    <n v="1"/>
    <n v="4"/>
  </r>
  <r>
    <n v="3464"/>
    <s v="Vanessa Andrade"/>
    <x v="0"/>
    <d v="2024-10-16T00:00:00"/>
    <x v="0"/>
    <n v="15"/>
    <x v="2"/>
    <s v="Yes"/>
    <n v="30"/>
    <x v="0"/>
    <x v="0"/>
    <n v="7"/>
    <n v="58"/>
  </r>
  <r>
    <n v="3465"/>
    <s v="William Castro"/>
    <x v="2"/>
    <d v="2024-10-17T00:00:00"/>
    <x v="1"/>
    <n v="10"/>
    <x v="0"/>
    <s v="No"/>
    <s v="-"/>
    <x v="0"/>
    <x v="0"/>
    <n v="10"/>
    <n v="20"/>
  </r>
  <r>
    <n v="3466"/>
    <s v="Xavier Monteiro"/>
    <x v="1"/>
    <d v="2024-10-18T00:00:00"/>
    <x v="0"/>
    <n v="5"/>
    <x v="1"/>
    <s v="No"/>
    <s v="-"/>
    <x v="1"/>
    <x v="1"/>
    <n v="0"/>
    <n v="5"/>
  </r>
  <r>
    <n v="3467"/>
    <s v="Yasmin Figueira"/>
    <x v="0"/>
    <d v="2024-10-19T00:00:00"/>
    <x v="1"/>
    <n v="15"/>
    <x v="0"/>
    <s v="Yes"/>
    <n v="30"/>
    <x v="0"/>
    <x v="0"/>
    <n v="15"/>
    <n v="50"/>
  </r>
  <r>
    <n v="3468"/>
    <s v="Zacarias Mendonça"/>
    <x v="2"/>
    <d v="2024-10-20T00:00:00"/>
    <x v="0"/>
    <n v="10"/>
    <x v="2"/>
    <s v="No"/>
    <s v="-"/>
    <x v="0"/>
    <x v="0"/>
    <n v="12"/>
    <n v="18"/>
  </r>
  <r>
    <n v="3469"/>
    <s v="Amanda Menezes"/>
    <x v="1"/>
    <d v="2024-10-21T00:00:00"/>
    <x v="1"/>
    <n v="5"/>
    <x v="0"/>
    <s v="No"/>
    <s v="-"/>
    <x v="1"/>
    <x v="1"/>
    <n v="2"/>
    <n v="3"/>
  </r>
  <r>
    <n v="3470"/>
    <s v="Bruno Santos"/>
    <x v="0"/>
    <d v="2024-10-22T00:00:00"/>
    <x v="0"/>
    <n v="15"/>
    <x v="1"/>
    <s v="Yes"/>
    <n v="30"/>
    <x v="0"/>
    <x v="0"/>
    <n v="5"/>
    <n v="60"/>
  </r>
  <r>
    <n v="3471"/>
    <s v="Carla Ferreira"/>
    <x v="2"/>
    <d v="2024-10-23T00:00:00"/>
    <x v="1"/>
    <n v="10"/>
    <x v="0"/>
    <s v="No"/>
    <s v="-"/>
    <x v="0"/>
    <x v="0"/>
    <n v="10"/>
    <n v="20"/>
  </r>
  <r>
    <n v="3472"/>
    <s v="Diogo Alves"/>
    <x v="1"/>
    <d v="2024-10-24T00:00:00"/>
    <x v="0"/>
    <n v="5"/>
    <x v="2"/>
    <s v="No"/>
    <s v="-"/>
    <x v="1"/>
    <x v="1"/>
    <n v="0"/>
    <n v="5"/>
  </r>
  <r>
    <n v="3473"/>
    <s v="Elisa Neves"/>
    <x v="0"/>
    <d v="2024-10-25T00:00:00"/>
    <x v="1"/>
    <n v="15"/>
    <x v="0"/>
    <s v="Yes"/>
    <n v="30"/>
    <x v="0"/>
    <x v="0"/>
    <n v="3"/>
    <n v="62"/>
  </r>
  <r>
    <n v="3474"/>
    <s v="Fabiano Pires"/>
    <x v="2"/>
    <d v="2024-10-26T00:00:00"/>
    <x v="0"/>
    <n v="10"/>
    <x v="1"/>
    <s v="No"/>
    <s v="-"/>
    <x v="0"/>
    <x v="0"/>
    <n v="15"/>
    <n v="15"/>
  </r>
  <r>
    <n v="3475"/>
    <s v="Giovana Ribeiro"/>
    <x v="1"/>
    <d v="2024-10-27T00:00:00"/>
    <x v="1"/>
    <n v="5"/>
    <x v="0"/>
    <s v="No"/>
    <s v="-"/>
    <x v="1"/>
    <x v="1"/>
    <n v="1"/>
    <n v="4"/>
  </r>
  <r>
    <n v="3476"/>
    <s v="Hélio Costa"/>
    <x v="0"/>
    <d v="2024-10-28T00:00:00"/>
    <x v="0"/>
    <n v="15"/>
    <x v="2"/>
    <s v="Yes"/>
    <n v="30"/>
    <x v="0"/>
    <x v="0"/>
    <n v="7"/>
    <n v="58"/>
  </r>
  <r>
    <n v="3477"/>
    <s v="Íris Loureiro"/>
    <x v="2"/>
    <d v="2024-10-29T00:00:00"/>
    <x v="1"/>
    <n v="10"/>
    <x v="0"/>
    <s v="No"/>
    <s v="-"/>
    <x v="0"/>
    <x v="0"/>
    <n v="10"/>
    <n v="20"/>
  </r>
  <r>
    <n v="3478"/>
    <s v="João Pereira"/>
    <x v="1"/>
    <d v="2024-10-30T00:00:00"/>
    <x v="0"/>
    <n v="5"/>
    <x v="1"/>
    <s v="No"/>
    <s v="-"/>
    <x v="1"/>
    <x v="1"/>
    <n v="0"/>
    <n v="5"/>
  </r>
  <r>
    <n v="3479"/>
    <s v="Klara Silva"/>
    <x v="0"/>
    <d v="2024-10-31T00:00:00"/>
    <x v="1"/>
    <n v="15"/>
    <x v="0"/>
    <s v="Yes"/>
    <n v="30"/>
    <x v="0"/>
    <x v="0"/>
    <n v="20"/>
    <n v="45"/>
  </r>
  <r>
    <n v="3480"/>
    <s v="Luciana Barros"/>
    <x v="2"/>
    <d v="2024-11-01T00:00:00"/>
    <x v="0"/>
    <n v="10"/>
    <x v="2"/>
    <s v="No"/>
    <s v="-"/>
    <x v="0"/>
    <x v="0"/>
    <n v="15"/>
    <n v="15"/>
  </r>
  <r>
    <n v="3481"/>
    <s v="Marcos Gomes"/>
    <x v="1"/>
    <d v="2024-11-02T00:00:00"/>
    <x v="1"/>
    <n v="5"/>
    <x v="0"/>
    <s v="No"/>
    <s v="-"/>
    <x v="1"/>
    <x v="1"/>
    <n v="1"/>
    <n v="4"/>
  </r>
  <r>
    <n v="3482"/>
    <s v="Natália Soares"/>
    <x v="0"/>
    <d v="2024-11-03T00:00:00"/>
    <x v="0"/>
    <n v="15"/>
    <x v="1"/>
    <s v="Yes"/>
    <n v="30"/>
    <x v="0"/>
    <x v="0"/>
    <n v="3"/>
    <n v="62"/>
  </r>
  <r>
    <n v="3483"/>
    <s v="Oscar Machado"/>
    <x v="2"/>
    <d v="2024-11-04T00:00:00"/>
    <x v="1"/>
    <n v="10"/>
    <x v="0"/>
    <s v="No"/>
    <s v="-"/>
    <x v="0"/>
    <x v="0"/>
    <n v="10"/>
    <n v="20"/>
  </r>
  <r>
    <n v="3484"/>
    <s v="Patrícia Lima"/>
    <x v="1"/>
    <d v="2024-11-05T00:00:00"/>
    <x v="0"/>
    <n v="5"/>
    <x v="2"/>
    <s v="No"/>
    <s v="-"/>
    <x v="1"/>
    <x v="1"/>
    <n v="0"/>
    <n v="5"/>
  </r>
  <r>
    <n v="3485"/>
    <s v="Quirino Neto"/>
    <x v="0"/>
    <d v="2024-11-06T00:00:00"/>
    <x v="1"/>
    <n v="15"/>
    <x v="0"/>
    <s v="Yes"/>
    <n v="30"/>
    <x v="0"/>
    <x v="0"/>
    <n v="15"/>
    <n v="50"/>
  </r>
  <r>
    <n v="3486"/>
    <s v="Rafaela Souza"/>
    <x v="1"/>
    <d v="2024-11-07T00:00:00"/>
    <x v="0"/>
    <n v="5"/>
    <x v="0"/>
    <s v="No"/>
    <s v="-"/>
    <x v="1"/>
    <x v="1"/>
    <n v="0"/>
    <n v="5"/>
  </r>
  <r>
    <n v="3487"/>
    <s v="Sandro Almeida"/>
    <x v="0"/>
    <d v="2024-11-08T00:00:00"/>
    <x v="1"/>
    <n v="15"/>
    <x v="2"/>
    <s v="Yes"/>
    <n v="30"/>
    <x v="0"/>
    <x v="0"/>
    <n v="7"/>
    <n v="58"/>
  </r>
  <r>
    <n v="3488"/>
    <s v="Tânia Ribeiro"/>
    <x v="2"/>
    <d v="2024-11-09T00:00:00"/>
    <x v="0"/>
    <n v="10"/>
    <x v="1"/>
    <s v="No"/>
    <s v="-"/>
    <x v="0"/>
    <x v="0"/>
    <n v="10"/>
    <n v="20"/>
  </r>
  <r>
    <n v="3489"/>
    <s v="Ugo Dias"/>
    <x v="1"/>
    <d v="2024-11-10T00:00:00"/>
    <x v="1"/>
    <n v="5"/>
    <x v="2"/>
    <s v="No"/>
    <s v="-"/>
    <x v="1"/>
    <x v="1"/>
    <n v="1"/>
    <n v="4"/>
  </r>
  <r>
    <n v="3490"/>
    <s v="Valéria Lima"/>
    <x v="0"/>
    <d v="2024-11-11T00:00:00"/>
    <x v="0"/>
    <n v="15"/>
    <x v="0"/>
    <s v="Yes"/>
    <n v="30"/>
    <x v="0"/>
    <x v="0"/>
    <n v="15"/>
    <n v="50"/>
  </r>
  <r>
    <n v="3491"/>
    <s v="William Fernandes"/>
    <x v="2"/>
    <d v="2024-11-12T00:00:00"/>
    <x v="1"/>
    <n v="10"/>
    <x v="0"/>
    <s v="No"/>
    <s v="-"/>
    <x v="0"/>
    <x v="0"/>
    <n v="5"/>
    <n v="25"/>
  </r>
  <r>
    <n v="3492"/>
    <s v="Xuxa Mendes"/>
    <x v="1"/>
    <d v="2024-11-13T00:00:00"/>
    <x v="0"/>
    <n v="5"/>
    <x v="1"/>
    <s v="No"/>
    <s v="-"/>
    <x v="1"/>
    <x v="1"/>
    <n v="0"/>
    <n v="5"/>
  </r>
  <r>
    <n v="3493"/>
    <s v="Ygor Farias"/>
    <x v="0"/>
    <d v="2024-11-14T00:00:00"/>
    <x v="1"/>
    <n v="15"/>
    <x v="2"/>
    <s v="Yes"/>
    <n v="30"/>
    <x v="0"/>
    <x v="0"/>
    <n v="20"/>
    <n v="45"/>
  </r>
  <r>
    <n v="3494"/>
    <s v="Zilda Barros"/>
    <x v="2"/>
    <d v="2024-11-15T00:00:00"/>
    <x v="0"/>
    <n v="10"/>
    <x v="2"/>
    <s v="No"/>
    <s v="-"/>
    <x v="0"/>
    <x v="0"/>
    <n v="12"/>
    <n v="18"/>
  </r>
  <r>
    <n v="3495"/>
    <s v="Amanda Santos"/>
    <x v="1"/>
    <d v="2024-11-16T00:00:00"/>
    <x v="1"/>
    <n v="5"/>
    <x v="0"/>
    <s v="No"/>
    <s v="-"/>
    <x v="1"/>
    <x v="1"/>
    <n v="2"/>
    <n v="3"/>
  </r>
  <r>
    <n v="3496"/>
    <s v="Bruno Costa"/>
    <x v="0"/>
    <d v="2024-11-17T00:00:00"/>
    <x v="0"/>
    <n v="15"/>
    <x v="1"/>
    <s v="Yes"/>
    <n v="30"/>
    <x v="0"/>
    <x v="0"/>
    <n v="5"/>
    <n v="60"/>
  </r>
  <r>
    <n v="3497"/>
    <s v="Carla Rodrigues"/>
    <x v="2"/>
    <d v="2024-11-18T00:00:00"/>
    <x v="1"/>
    <n v="10"/>
    <x v="0"/>
    <s v="No"/>
    <s v="-"/>
    <x v="0"/>
    <x v="0"/>
    <n v="10"/>
    <n v="20"/>
  </r>
  <r>
    <n v="3498"/>
    <s v="Diogo Pereira"/>
    <x v="1"/>
    <d v="2024-11-19T00:00:00"/>
    <x v="0"/>
    <n v="5"/>
    <x v="2"/>
    <s v="No"/>
    <s v="-"/>
    <x v="1"/>
    <x v="1"/>
    <n v="0"/>
    <n v="5"/>
  </r>
  <r>
    <n v="3499"/>
    <s v="Elisa Correia"/>
    <x v="0"/>
    <d v="2024-11-20T00:00:00"/>
    <x v="1"/>
    <n v="15"/>
    <x v="0"/>
    <s v="Yes"/>
    <n v="30"/>
    <x v="0"/>
    <x v="0"/>
    <n v="3"/>
    <n v="62"/>
  </r>
  <r>
    <n v="3500"/>
    <s v="Fábio Lourenço"/>
    <x v="2"/>
    <d v="2024-11-21T00:00:00"/>
    <x v="0"/>
    <n v="10"/>
    <x v="1"/>
    <s v="No"/>
    <s v="-"/>
    <x v="0"/>
    <x v="0"/>
    <n v="15"/>
    <n v="15"/>
  </r>
  <r>
    <n v="3501"/>
    <s v="Gabriela Neves"/>
    <x v="1"/>
    <d v="2024-11-22T00:00:00"/>
    <x v="1"/>
    <n v="5"/>
    <x v="0"/>
    <s v="No"/>
    <s v="-"/>
    <x v="1"/>
    <x v="1"/>
    <n v="1"/>
    <n v="4"/>
  </r>
  <r>
    <n v="3502"/>
    <s v="Henrique Gonçalves"/>
    <x v="0"/>
    <d v="2024-11-23T00:00:00"/>
    <x v="0"/>
    <n v="15"/>
    <x v="2"/>
    <s v="Yes"/>
    <n v="30"/>
    <x v="0"/>
    <x v="0"/>
    <n v="7"/>
    <n v="58"/>
  </r>
  <r>
    <n v="3503"/>
    <s v="Íris Santos"/>
    <x v="2"/>
    <d v="2024-11-24T00:00:00"/>
    <x v="1"/>
    <n v="10"/>
    <x v="0"/>
    <s v="No"/>
    <s v="-"/>
    <x v="0"/>
    <x v="0"/>
    <n v="10"/>
    <n v="20"/>
  </r>
  <r>
    <n v="3504"/>
    <s v="João Marcelo Alves"/>
    <x v="1"/>
    <d v="2024-11-25T00:00:00"/>
    <x v="0"/>
    <n v="5"/>
    <x v="1"/>
    <s v="No"/>
    <s v="-"/>
    <x v="1"/>
    <x v="1"/>
    <n v="0"/>
    <n v="5"/>
  </r>
  <r>
    <n v="3505"/>
    <s v="Klara Fonseca"/>
    <x v="0"/>
    <d v="2024-11-26T00:00:00"/>
    <x v="1"/>
    <n v="15"/>
    <x v="0"/>
    <s v="Yes"/>
    <n v="30"/>
    <x v="0"/>
    <x v="0"/>
    <n v="20"/>
    <n v="45"/>
  </r>
  <r>
    <n v="3506"/>
    <s v="Lucas Mendonça"/>
    <x v="2"/>
    <d v="2024-11-27T00:00:00"/>
    <x v="0"/>
    <n v="10"/>
    <x v="2"/>
    <s v="No"/>
    <s v="-"/>
    <x v="0"/>
    <x v="0"/>
    <n v="15"/>
    <n v="15"/>
  </r>
  <r>
    <n v="3507"/>
    <s v="Marcela Torres"/>
    <x v="1"/>
    <d v="2024-11-28T00:00:00"/>
    <x v="1"/>
    <n v="5"/>
    <x v="0"/>
    <s v="No"/>
    <s v="-"/>
    <x v="1"/>
    <x v="1"/>
    <n v="1"/>
    <n v="4"/>
  </r>
  <r>
    <n v="3508"/>
    <s v="Natália Castro"/>
    <x v="0"/>
    <d v="2024-11-29T00:00:00"/>
    <x v="0"/>
    <n v="15"/>
    <x v="1"/>
    <s v="Yes"/>
    <n v="30"/>
    <x v="0"/>
    <x v="0"/>
    <n v="3"/>
    <n v="62"/>
  </r>
  <r>
    <n v="3509"/>
    <s v="Oscar Martins"/>
    <x v="2"/>
    <d v="2024-11-30T00:00:00"/>
    <x v="1"/>
    <n v="10"/>
    <x v="0"/>
    <s v="No"/>
    <s v="-"/>
    <x v="0"/>
    <x v="0"/>
    <n v="10"/>
    <n v="20"/>
  </r>
  <r>
    <n v="3510"/>
    <s v="Patrícia Oliveira"/>
    <x v="1"/>
    <d v="2024-12-01T00:00:00"/>
    <x v="0"/>
    <n v="5"/>
    <x v="2"/>
    <s v="No"/>
    <s v="-"/>
    <x v="1"/>
    <x v="1"/>
    <n v="0"/>
    <n v="5"/>
  </r>
  <r>
    <n v="3511"/>
    <s v="Quentin Nogueira"/>
    <x v="0"/>
    <d v="2024-12-02T00:00:00"/>
    <x v="1"/>
    <n v="15"/>
    <x v="0"/>
    <s v="Yes"/>
    <n v="30"/>
    <x v="0"/>
    <x v="0"/>
    <n v="15"/>
    <n v="50"/>
  </r>
  <r>
    <n v="3512"/>
    <s v="Raquel Silva"/>
    <x v="2"/>
    <d v="2024-12-03T00:00:00"/>
    <x v="0"/>
    <n v="10"/>
    <x v="1"/>
    <s v="No"/>
    <s v="-"/>
    <x v="0"/>
    <x v="0"/>
    <n v="15"/>
    <n v="15"/>
  </r>
  <r>
    <n v="3513"/>
    <s v="Sandro Gomes"/>
    <x v="1"/>
    <d v="2024-12-04T00:00:00"/>
    <x v="1"/>
    <n v="5"/>
    <x v="0"/>
    <s v="No"/>
    <s v="-"/>
    <x v="1"/>
    <x v="1"/>
    <n v="1"/>
    <n v="4"/>
  </r>
  <r>
    <n v="3514"/>
    <s v="Tânia Machado"/>
    <x v="0"/>
    <d v="2024-12-05T00:00:00"/>
    <x v="0"/>
    <n v="15"/>
    <x v="2"/>
    <s v="Yes"/>
    <n v="30"/>
    <x v="0"/>
    <x v="0"/>
    <n v="7"/>
    <n v="58"/>
  </r>
  <r>
    <n v="3515"/>
    <s v="Ursula Silva"/>
    <x v="2"/>
    <d v="2024-12-06T00:00:00"/>
    <x v="1"/>
    <n v="10"/>
    <x v="0"/>
    <s v="No"/>
    <s v="-"/>
    <x v="0"/>
    <x v="0"/>
    <n v="10"/>
    <n v="20"/>
  </r>
  <r>
    <n v="3516"/>
    <s v="Vanessa Moraes"/>
    <x v="1"/>
    <d v="2024-12-07T00:00:00"/>
    <x v="0"/>
    <n v="5"/>
    <x v="1"/>
    <s v="No"/>
    <s v="-"/>
    <x v="1"/>
    <x v="1"/>
    <n v="0"/>
    <n v="5"/>
  </r>
  <r>
    <n v="3517"/>
    <s v="William Carvalho"/>
    <x v="0"/>
    <d v="2024-12-08T00:00:00"/>
    <x v="1"/>
    <n v="15"/>
    <x v="0"/>
    <s v="Yes"/>
    <n v="30"/>
    <x v="0"/>
    <x v="0"/>
    <n v="20"/>
    <n v="45"/>
  </r>
  <r>
    <n v="3518"/>
    <s v="Xavier Reis"/>
    <x v="2"/>
    <d v="2024-12-09T00:00:00"/>
    <x v="0"/>
    <n v="10"/>
    <x v="2"/>
    <s v="No"/>
    <s v="-"/>
    <x v="0"/>
    <x v="0"/>
    <n v="12"/>
    <n v="18"/>
  </r>
  <r>
    <n v="3519"/>
    <s v="Yasmin Rocha"/>
    <x v="1"/>
    <d v="2024-12-10T00:00:00"/>
    <x v="1"/>
    <n v="5"/>
    <x v="0"/>
    <s v="No"/>
    <s v="-"/>
    <x v="1"/>
    <x v="1"/>
    <n v="2"/>
    <n v="3"/>
  </r>
  <r>
    <n v="3520"/>
    <s v="Zacarias Duarte"/>
    <x v="0"/>
    <d v="2024-12-11T00:00:00"/>
    <x v="0"/>
    <n v="15"/>
    <x v="1"/>
    <s v="Yes"/>
    <n v="30"/>
    <x v="0"/>
    <x v="0"/>
    <n v="5"/>
    <n v="60"/>
  </r>
  <r>
    <n v="3521"/>
    <s v="Amanda Freitas"/>
    <x v="2"/>
    <d v="2024-12-12T00:00:00"/>
    <x v="1"/>
    <n v="10"/>
    <x v="0"/>
    <s v="No"/>
    <s v="-"/>
    <x v="0"/>
    <x v="0"/>
    <n v="10"/>
    <n v="20"/>
  </r>
  <r>
    <n v="3522"/>
    <s v="Bruno Almeida"/>
    <x v="1"/>
    <d v="2024-12-13T00:00:00"/>
    <x v="0"/>
    <n v="5"/>
    <x v="2"/>
    <s v="No"/>
    <s v="-"/>
    <x v="1"/>
    <x v="1"/>
    <n v="0"/>
    <n v="5"/>
  </r>
  <r>
    <n v="3523"/>
    <s v="Carla Siqueira"/>
    <x v="0"/>
    <d v="2024-12-14T00:00:00"/>
    <x v="1"/>
    <n v="15"/>
    <x v="0"/>
    <s v="Yes"/>
    <n v="30"/>
    <x v="0"/>
    <x v="0"/>
    <n v="3"/>
    <n v="62"/>
  </r>
  <r>
    <n v="3524"/>
    <s v="Diogo Ramos"/>
    <x v="2"/>
    <d v="2024-12-15T00:00:00"/>
    <x v="0"/>
    <n v="10"/>
    <x v="1"/>
    <s v="No"/>
    <s v="-"/>
    <x v="0"/>
    <x v="0"/>
    <n v="15"/>
    <n v="15"/>
  </r>
  <r>
    <n v="3525"/>
    <s v="Elisa Magalhães"/>
    <x v="1"/>
    <d v="2024-12-16T00:00:00"/>
    <x v="1"/>
    <n v="5"/>
    <x v="0"/>
    <s v="No"/>
    <s v="-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bl_minecraft_season_Pass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compact="0" compactData="0" multipleFieldFilters="0" chartFormat="44">
  <location ref="B35:D42" firstHeaderRow="1" firstDataRow="1" firstDataCol="2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dataField="1" compact="0" numFmtId="44" outline="0" showAll="0">
      <items count="3">
        <item x="1"/>
        <item x="0"/>
        <item t="default"/>
      </items>
    </pivotField>
    <pivotField compact="0" numFmtId="44" outline="0" showAll="0"/>
    <pivotField compact="0" numFmtId="44" outline="0" showAll="0"/>
  </pivotFields>
  <rowFields count="2">
    <field x="2"/>
    <field x="9"/>
  </rowFields>
  <rowItems count="7">
    <i>
      <x/>
      <x/>
    </i>
    <i t="default">
      <x/>
    </i>
    <i>
      <x v="1"/>
      <x v="1"/>
    </i>
    <i t="default">
      <x v="1"/>
    </i>
    <i>
      <x v="2"/>
      <x v="1"/>
    </i>
    <i t="default"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bl_SeasonPass_total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compact="0" compactData="0" multipleFieldFilters="0" chartFormat="44">
  <location ref="B20:C24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compact="0" outline="0" showAll="0"/>
    <pivotField dataField="1"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bl_annual_total" cacheId="0" applyNumberFormats="0" applyBorderFormats="0" applyFontFormats="0" applyPatternFormats="0" applyAlignmentFormats="0" applyWidthHeightFormats="1" dataCaption="Valores" updatedVersion="4" minRefreshableVersion="3" useAutoFormatting="1" itemPrintTitles="1" createdVersion="8" indent="0" compact="0" compactData="0" multipleFieldFilters="0" chartFormat="44">
  <location ref="B11:C14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/>
    <pivotField axis="axisPage" compact="0" outline="0" multipleItemSelectionAllowed="1" showAll="0">
      <items count="4">
        <item h="1" x="1"/>
        <item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8">
    <chartFormat chart="1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SeasonPass_total"/>
    <pivotTable tabId="3" name="tbl_minecraft_season_Pass"/>
  </pivotTables>
  <data>
    <tabular pivotCacheId="510037259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3" rowHeight="228600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>
    <filterColumn colId="7">
      <filters>
        <filter val="Yes"/>
      </filters>
    </filterColumn>
  </autoFilter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5"/>
  <sheetViews>
    <sheetView showGridLines="0" topLeftCell="A6" zoomScaleNormal="100" workbookViewId="0">
      <selection activeCell="J25" sqref="J25"/>
    </sheetView>
  </sheetViews>
  <sheetFormatPr defaultRowHeight="14"/>
  <cols>
    <col min="9" max="9" width="3.58203125" customWidth="1"/>
  </cols>
  <sheetData>
    <row r="3" spans="2:16" ht="19.5" thickBot="1">
      <c r="B3" s="1" t="s">
        <v>0</v>
      </c>
      <c r="C3" s="1"/>
      <c r="D3" s="1"/>
      <c r="E3" s="1"/>
      <c r="F3" s="1"/>
      <c r="G3" s="1"/>
      <c r="H3" s="1"/>
    </row>
    <row r="4" spans="2:16" ht="14.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  <c r="E6" s="14"/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19.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4.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10">
      <c r="B17" s="2"/>
      <c r="C17" s="2"/>
      <c r="D17" s="2"/>
      <c r="E17" s="2"/>
      <c r="F17" s="2"/>
      <c r="G17" s="2"/>
      <c r="H17" s="2"/>
    </row>
    <row r="18" spans="2:10">
      <c r="B18" s="2"/>
      <c r="C18" s="2"/>
      <c r="D18" s="2"/>
      <c r="E18" s="2"/>
      <c r="F18" s="2"/>
      <c r="G18" s="2"/>
      <c r="H18" s="2"/>
    </row>
    <row r="19" spans="2:10">
      <c r="B19" s="2"/>
      <c r="C19" s="2"/>
      <c r="D19" s="2"/>
      <c r="E19" s="2"/>
      <c r="F19" s="2"/>
      <c r="G19" s="2"/>
      <c r="H19" s="2"/>
    </row>
    <row r="20" spans="2:10">
      <c r="B20" s="2"/>
      <c r="C20" s="2"/>
      <c r="D20" s="2"/>
      <c r="E20" s="2"/>
      <c r="F20" s="2"/>
      <c r="G20" s="2"/>
      <c r="H20" s="2"/>
    </row>
    <row r="21" spans="2:10">
      <c r="B21" s="2"/>
      <c r="C21" s="2"/>
      <c r="D21" s="2"/>
      <c r="E21" s="2"/>
      <c r="F21" s="2"/>
      <c r="G21" s="2"/>
      <c r="H21" s="2"/>
    </row>
    <row r="25" spans="2:10">
      <c r="J25" s="27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E1" zoomScale="90" zoomScaleNormal="90" workbookViewId="0">
      <selection activeCell="G31" sqref="G31"/>
    </sheetView>
  </sheetViews>
  <sheetFormatPr defaultRowHeight="14"/>
  <cols>
    <col min="1" max="1" width="17.83203125" bestFit="1" customWidth="1"/>
    <col min="2" max="2" width="18.83203125" bestFit="1" customWidth="1"/>
    <col min="3" max="3" width="9.4140625" bestFit="1" customWidth="1"/>
    <col min="4" max="4" width="14.58203125" bestFit="1" customWidth="1"/>
    <col min="5" max="5" width="18" bestFit="1" customWidth="1"/>
    <col min="6" max="6" width="14.75" bestFit="1" customWidth="1"/>
    <col min="7" max="7" width="22" bestFit="1" customWidth="1"/>
    <col min="8" max="8" width="20.58203125" bestFit="1" customWidth="1"/>
    <col min="9" max="9" width="20.58203125" customWidth="1"/>
    <col min="10" max="10" width="16.75" bestFit="1" customWidth="1"/>
    <col min="11" max="11" width="21.25" bestFit="1" customWidth="1"/>
    <col min="12" max="12" width="12.75" bestFit="1" customWidth="1"/>
    <col min="13" max="13" width="10.58203125" bestFit="1" customWidth="1"/>
  </cols>
  <sheetData>
    <row r="1" spans="1:13" ht="28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4:D42"/>
  <sheetViews>
    <sheetView showGridLines="0" topLeftCell="A30" workbookViewId="0">
      <selection activeCell="D42" sqref="D42"/>
    </sheetView>
  </sheetViews>
  <sheetFormatPr defaultRowHeight="14"/>
  <cols>
    <col min="2" max="2" width="15.33203125" customWidth="1"/>
    <col min="3" max="3" width="22.4140625" customWidth="1"/>
    <col min="4" max="4" width="33.5" customWidth="1"/>
    <col min="5" max="5" width="9.25" customWidth="1"/>
    <col min="6" max="6" width="11.25" bestFit="1" customWidth="1"/>
    <col min="7" max="7" width="27.75" bestFit="1" customWidth="1"/>
    <col min="8" max="8" width="5.4140625" customWidth="1"/>
    <col min="9" max="9" width="21.1640625" bestFit="1" customWidth="1"/>
    <col min="10" max="11" width="35.1640625" bestFit="1" customWidth="1"/>
    <col min="12" max="15" width="9.75" bestFit="1" customWidth="1"/>
    <col min="16" max="16" width="15.58203125" bestFit="1" customWidth="1"/>
    <col min="17" max="17" width="12.1640625" bestFit="1" customWidth="1"/>
  </cols>
  <sheetData>
    <row r="4" spans="2:3" ht="42" customHeight="1">
      <c r="B4" s="20" t="s">
        <v>313</v>
      </c>
      <c r="C4" s="21"/>
    </row>
    <row r="6" spans="2:3" ht="126">
      <c r="B6" s="22" t="s">
        <v>314</v>
      </c>
    </row>
    <row r="9" spans="2:3">
      <c r="B9" s="12" t="s">
        <v>17</v>
      </c>
      <c r="C9" t="s">
        <v>27</v>
      </c>
    </row>
    <row r="11" spans="2:3">
      <c r="B11" s="12" t="s">
        <v>15</v>
      </c>
      <c r="C11" t="s">
        <v>315</v>
      </c>
    </row>
    <row r="12" spans="2:3">
      <c r="B12" t="s">
        <v>30</v>
      </c>
      <c r="C12" s="13">
        <v>2824</v>
      </c>
    </row>
    <row r="13" spans="2:3">
      <c r="B13" t="s">
        <v>26</v>
      </c>
      <c r="C13" s="13">
        <v>747</v>
      </c>
    </row>
    <row r="14" spans="2:3">
      <c r="B14" t="s">
        <v>316</v>
      </c>
      <c r="C14" s="13">
        <v>3571</v>
      </c>
    </row>
    <row r="18" spans="2:3">
      <c r="B18" s="12" t="s">
        <v>17</v>
      </c>
      <c r="C18" t="s">
        <v>27</v>
      </c>
    </row>
    <row r="20" spans="2:3">
      <c r="B20" s="12" t="s">
        <v>13</v>
      </c>
      <c r="C20" t="s">
        <v>317</v>
      </c>
    </row>
    <row r="21" spans="2:3">
      <c r="B21" t="s">
        <v>29</v>
      </c>
      <c r="C21" s="23">
        <v>0</v>
      </c>
    </row>
    <row r="22" spans="2:3">
      <c r="B22" t="s">
        <v>34</v>
      </c>
      <c r="C22" s="23">
        <v>0</v>
      </c>
    </row>
    <row r="23" spans="2:3">
      <c r="B23" t="s">
        <v>25</v>
      </c>
      <c r="C23" s="23">
        <v>1350</v>
      </c>
    </row>
    <row r="24" spans="2:3">
      <c r="B24" t="s">
        <v>316</v>
      </c>
      <c r="C24" s="23">
        <v>1350</v>
      </c>
    </row>
    <row r="30" spans="2:3" ht="70">
      <c r="B30" s="30" t="s">
        <v>318</v>
      </c>
      <c r="C30" s="21"/>
    </row>
    <row r="33" spans="2:4">
      <c r="B33" s="12" t="s">
        <v>17</v>
      </c>
      <c r="C33" t="s">
        <v>27</v>
      </c>
    </row>
    <row r="35" spans="2:4">
      <c r="B35" s="12" t="s">
        <v>13</v>
      </c>
      <c r="C35" s="12" t="s">
        <v>20</v>
      </c>
      <c r="D35" t="s">
        <v>319</v>
      </c>
    </row>
    <row r="36" spans="2:4">
      <c r="B36" t="s">
        <v>29</v>
      </c>
      <c r="C36" t="s">
        <v>30</v>
      </c>
      <c r="D36" s="13">
        <v>0</v>
      </c>
    </row>
    <row r="37" spans="2:4">
      <c r="B37" t="s">
        <v>320</v>
      </c>
      <c r="D37" s="13">
        <v>0</v>
      </c>
    </row>
    <row r="38" spans="2:4">
      <c r="B38" t="s">
        <v>34</v>
      </c>
      <c r="C38" t="s">
        <v>26</v>
      </c>
      <c r="D38" s="13">
        <v>900</v>
      </c>
    </row>
    <row r="39" spans="2:4">
      <c r="B39" t="s">
        <v>321</v>
      </c>
      <c r="D39" s="13">
        <v>900</v>
      </c>
    </row>
    <row r="40" spans="2:4">
      <c r="B40" t="s">
        <v>25</v>
      </c>
      <c r="C40" t="s">
        <v>26</v>
      </c>
      <c r="D40" s="13">
        <v>900</v>
      </c>
    </row>
    <row r="41" spans="2:4">
      <c r="B41" t="s">
        <v>322</v>
      </c>
      <c r="D41" s="13">
        <v>900</v>
      </c>
    </row>
    <row r="42" spans="2:4">
      <c r="B42" t="s">
        <v>316</v>
      </c>
      <c r="D42" s="13">
        <v>1800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9"/>
  <sheetViews>
    <sheetView showGridLines="0" tabSelected="1" zoomScale="80" zoomScaleNormal="80" workbookViewId="0">
      <selection activeCell="F7" sqref="F7"/>
    </sheetView>
  </sheetViews>
  <sheetFormatPr defaultRowHeight="14"/>
  <cols>
    <col min="1" max="1" width="32.25" style="16" customWidth="1"/>
    <col min="2" max="2" width="9.75" customWidth="1"/>
    <col min="3" max="3" width="51.4140625" customWidth="1"/>
    <col min="4" max="4" width="12.25" customWidth="1"/>
    <col min="5" max="5" width="54.1640625" customWidth="1"/>
    <col min="6" max="6" width="23.58203125" customWidth="1"/>
    <col min="7" max="7" width="26.75" hidden="1" customWidth="1"/>
    <col min="8" max="8" width="23" customWidth="1"/>
    <col min="12" max="12" width="6.58203125" customWidth="1"/>
  </cols>
  <sheetData>
    <row r="1" spans="1:8" ht="55.5" customHeight="1">
      <c r="C1" s="32" t="s">
        <v>323</v>
      </c>
      <c r="D1" s="32"/>
      <c r="E1" s="32"/>
      <c r="F1" s="32"/>
      <c r="G1" s="33"/>
    </row>
    <row r="2" spans="1:8" ht="35.25" customHeight="1"/>
    <row r="3" spans="1:8" ht="18.75" customHeight="1">
      <c r="F3" s="19"/>
      <c r="G3" s="18"/>
    </row>
    <row r="4" spans="1:8" s="17" customFormat="1" ht="20.25" customHeight="1">
      <c r="A4" s="16"/>
    </row>
    <row r="5" spans="1:8" s="17" customFormat="1" ht="15.75" customHeight="1">
      <c r="A5" s="16"/>
    </row>
    <row r="6" spans="1:8" s="17" customFormat="1" ht="33.75" customHeight="1">
      <c r="A6" s="16"/>
      <c r="C6" s="25"/>
      <c r="D6" s="24"/>
    </row>
    <row r="7" spans="1:8" s="17" customFormat="1" ht="31.5" customHeight="1">
      <c r="A7" s="16"/>
      <c r="C7" s="25"/>
      <c r="D7" s="24"/>
      <c r="E7" s="29"/>
    </row>
    <row r="8" spans="1:8" s="17" customFormat="1" ht="87" customHeight="1">
      <c r="A8" s="16"/>
      <c r="C8" s="26">
        <f>C̳álculos!C24</f>
        <v>1350</v>
      </c>
      <c r="E8" s="31">
        <f>C̳álculos!D42</f>
        <v>1800</v>
      </c>
      <c r="H8" s="28"/>
    </row>
    <row r="9" spans="1:8" s="17" customFormat="1" ht="45.75" customHeight="1">
      <c r="A9" s="16"/>
    </row>
    <row r="10" spans="1:8" s="17" customFormat="1">
      <c r="A10" s="16"/>
    </row>
    <row r="11" spans="1:8" s="17" customFormat="1">
      <c r="A11" s="16"/>
    </row>
    <row r="12" spans="1:8" s="17" customFormat="1">
      <c r="A12" s="16"/>
    </row>
    <row r="13" spans="1:8" s="17" customFormat="1">
      <c r="A13" s="16"/>
    </row>
    <row r="14" spans="1:8" s="17" customFormat="1">
      <c r="A14" s="16"/>
    </row>
    <row r="15" spans="1:8" s="17" customFormat="1">
      <c r="A15" s="16"/>
    </row>
    <row r="16" spans="1:8" s="17" customFormat="1">
      <c r="A16" s="16"/>
    </row>
    <row r="17" spans="1:1" s="17" customFormat="1">
      <c r="A17" s="16"/>
    </row>
    <row r="18" spans="1:1" s="17" customFormat="1">
      <c r="A18" s="16"/>
    </row>
    <row r="19" spans="1:1" s="17" customFormat="1">
      <c r="A19" s="16"/>
    </row>
    <row r="20" spans="1:1" s="17" customFormat="1">
      <c r="A20" s="16"/>
    </row>
    <row r="21" spans="1:1" s="17" customFormat="1">
      <c r="A21" s="16"/>
    </row>
    <row r="22" spans="1:1" s="17" customFormat="1">
      <c r="A22" s="16"/>
    </row>
    <row r="23" spans="1:1" s="17" customFormat="1">
      <c r="A23" s="16"/>
    </row>
    <row r="24" spans="1:1" s="17" customFormat="1">
      <c r="A24" s="16"/>
    </row>
    <row r="25" spans="1:1" s="17" customFormat="1">
      <c r="A25" s="16"/>
    </row>
    <row r="26" spans="1:1" s="17" customFormat="1">
      <c r="A26" s="16"/>
    </row>
    <row r="27" spans="1:1" s="17" customFormat="1">
      <c r="A27" s="16"/>
    </row>
    <row r="28" spans="1:1" s="17" customFormat="1">
      <c r="A28" s="16"/>
    </row>
    <row r="29" spans="1:1" s="17" customFormat="1">
      <c r="A29" s="16"/>
    </row>
    <row r="30" spans="1:1" s="17" customFormat="1">
      <c r="A30" s="16"/>
    </row>
    <row r="31" spans="1:1" s="17" customFormat="1">
      <c r="A31" s="16"/>
    </row>
    <row r="32" spans="1:1" s="17" customFormat="1">
      <c r="A32" s="16"/>
    </row>
    <row r="33" spans="1:1" s="17" customFormat="1">
      <c r="A33" s="16"/>
    </row>
    <row r="34" spans="1:1" s="17" customFormat="1">
      <c r="A34" s="16"/>
    </row>
    <row r="35" spans="1:1" s="17" customFormat="1">
      <c r="A35" s="16"/>
    </row>
    <row r="36" spans="1:1" s="17" customFormat="1">
      <c r="A36" s="16"/>
    </row>
    <row r="37" spans="1:1" s="17" customFormat="1">
      <c r="A37" s="16"/>
    </row>
    <row r="38" spans="1:1" s="17" customFormat="1">
      <c r="A38" s="16"/>
    </row>
    <row r="39" spans="1:1" s="17" customFormat="1">
      <c r="A39" s="16"/>
    </row>
    <row r="40" spans="1:1" s="17" customFormat="1">
      <c r="A40" s="16"/>
    </row>
    <row r="41" spans="1:1" s="17" customFormat="1">
      <c r="A41" s="16"/>
    </row>
    <row r="42" spans="1:1" s="17" customFormat="1">
      <c r="A42" s="16"/>
    </row>
    <row r="43" spans="1:1" s="17" customFormat="1">
      <c r="A43" s="16"/>
    </row>
    <row r="44" spans="1:1" s="17" customFormat="1">
      <c r="A44" s="16"/>
    </row>
    <row r="45" spans="1:1" s="17" customFormat="1">
      <c r="A45" s="16"/>
    </row>
    <row r="46" spans="1:1" s="17" customFormat="1">
      <c r="A46" s="16"/>
    </row>
    <row r="47" spans="1:1" s="17" customFormat="1">
      <c r="A47" s="16"/>
    </row>
    <row r="48" spans="1:1" s="17" customFormat="1">
      <c r="A48" s="16"/>
    </row>
    <row r="49" spans="1:1" s="17" customFormat="1">
      <c r="A49" s="16"/>
    </row>
    <row r="50" spans="1:1" s="17" customFormat="1">
      <c r="A50" s="16"/>
    </row>
    <row r="51" spans="1:1" s="17" customFormat="1">
      <c r="A51" s="16"/>
    </row>
    <row r="52" spans="1:1" s="17" customFormat="1">
      <c r="A52" s="16"/>
    </row>
    <row r="53" spans="1:1" s="17" customFormat="1">
      <c r="A53" s="16"/>
    </row>
    <row r="54" spans="1:1" s="17" customFormat="1">
      <c r="A54" s="16"/>
    </row>
    <row r="55" spans="1:1" s="17" customFormat="1">
      <c r="A55" s="16"/>
    </row>
    <row r="56" spans="1:1" s="17" customFormat="1">
      <c r="A56" s="16"/>
    </row>
    <row r="57" spans="1:1" s="17" customFormat="1">
      <c r="A57" s="16"/>
    </row>
    <row r="58" spans="1:1" s="17" customFormat="1">
      <c r="A58" s="16"/>
    </row>
    <row r="59" spans="1:1" s="17" customFormat="1">
      <c r="A59" s="16"/>
    </row>
    <row r="60" spans="1:1" s="17" customFormat="1">
      <c r="A60" s="16"/>
    </row>
    <row r="61" spans="1:1" s="17" customFormat="1">
      <c r="A61" s="16"/>
    </row>
    <row r="62" spans="1:1" s="17" customFormat="1">
      <c r="A62" s="16"/>
    </row>
    <row r="63" spans="1:1" s="17" customFormat="1">
      <c r="A63" s="16"/>
    </row>
    <row r="64" spans="1:1" s="17" customFormat="1">
      <c r="A64" s="16"/>
    </row>
    <row r="65" spans="1:1" s="17" customFormat="1">
      <c r="A65" s="16"/>
    </row>
    <row r="66" spans="1:1" s="17" customFormat="1">
      <c r="A66" s="16"/>
    </row>
    <row r="67" spans="1:1" s="17" customFormat="1">
      <c r="A67" s="16"/>
    </row>
    <row r="68" spans="1:1" s="17" customFormat="1">
      <c r="A68" s="16"/>
    </row>
    <row r="69" spans="1:1" s="17" customFormat="1">
      <c r="A69" s="16"/>
    </row>
    <row r="70" spans="1:1" s="17" customFormat="1">
      <c r="A70" s="16"/>
    </row>
    <row r="71" spans="1:1" s="17" customFormat="1">
      <c r="A71" s="16"/>
    </row>
    <row r="72" spans="1:1" s="17" customFormat="1">
      <c r="A72" s="16"/>
    </row>
    <row r="73" spans="1:1" s="17" customFormat="1">
      <c r="A73" s="16"/>
    </row>
    <row r="74" spans="1:1" s="17" customFormat="1">
      <c r="A74" s="16"/>
    </row>
    <row r="75" spans="1:1" s="17" customFormat="1">
      <c r="A75" s="16"/>
    </row>
    <row r="76" spans="1:1" s="17" customFormat="1">
      <c r="A76" s="16"/>
    </row>
    <row r="77" spans="1:1" s="17" customFormat="1">
      <c r="A77" s="16"/>
    </row>
    <row r="78" spans="1:1" s="17" customFormat="1">
      <c r="A78" s="16"/>
    </row>
    <row r="79" spans="1:1" s="17" customFormat="1">
      <c r="A79" s="16"/>
    </row>
    <row r="80" spans="1:1" s="17" customFormat="1">
      <c r="A80" s="16"/>
    </row>
    <row r="81" spans="1:1" s="17" customFormat="1">
      <c r="A81" s="16"/>
    </row>
    <row r="82" spans="1:1" s="17" customFormat="1">
      <c r="A82" s="16"/>
    </row>
    <row r="83" spans="1:1" s="17" customFormat="1">
      <c r="A83" s="16"/>
    </row>
    <row r="84" spans="1:1" s="17" customFormat="1">
      <c r="A84" s="16"/>
    </row>
    <row r="85" spans="1:1" s="17" customFormat="1">
      <c r="A85" s="16"/>
    </row>
    <row r="86" spans="1:1" s="17" customFormat="1">
      <c r="A86" s="16"/>
    </row>
    <row r="87" spans="1:1" s="17" customFormat="1">
      <c r="A87" s="16"/>
    </row>
    <row r="88" spans="1:1" s="17" customFormat="1">
      <c r="A88" s="16"/>
    </row>
    <row r="89" spans="1:1" s="17" customFormat="1">
      <c r="A89" s="16"/>
    </row>
    <row r="90" spans="1:1" s="17" customFormat="1">
      <c r="A90" s="16"/>
    </row>
    <row r="91" spans="1:1" s="17" customFormat="1">
      <c r="A91" s="16"/>
    </row>
    <row r="92" spans="1:1" s="17" customFormat="1">
      <c r="A92" s="16"/>
    </row>
    <row r="93" spans="1:1" s="17" customFormat="1">
      <c r="A93" s="16"/>
    </row>
    <row r="94" spans="1:1" s="17" customFormat="1">
      <c r="A94" s="16"/>
    </row>
    <row r="95" spans="1:1" s="17" customFormat="1">
      <c r="A95" s="16"/>
    </row>
    <row r="96" spans="1:1" s="17" customFormat="1">
      <c r="A96" s="16"/>
    </row>
    <row r="97" spans="1:2" s="17" customFormat="1">
      <c r="A97" s="16"/>
    </row>
    <row r="98" spans="1:2" s="17" customFormat="1">
      <c r="A98" s="16"/>
    </row>
    <row r="99" spans="1:2" s="17" customFormat="1">
      <c r="A99" s="16"/>
    </row>
    <row r="100" spans="1:2" s="17" customFormat="1">
      <c r="A100" s="16"/>
    </row>
    <row r="101" spans="1:2" s="17" customFormat="1">
      <c r="A101" s="16"/>
    </row>
    <row r="102" spans="1:2" s="17" customFormat="1">
      <c r="A102" s="16"/>
    </row>
    <row r="103" spans="1:2" s="17" customFormat="1">
      <c r="A103" s="16"/>
    </row>
    <row r="104" spans="1:2" s="17" customFormat="1">
      <c r="A104" s="16"/>
    </row>
    <row r="105" spans="1:2" s="17" customFormat="1">
      <c r="A105" s="16"/>
    </row>
    <row r="106" spans="1:2" s="17" customFormat="1">
      <c r="A106" s="16"/>
    </row>
    <row r="107" spans="1:2" s="17" customFormat="1">
      <c r="A107" s="16"/>
    </row>
    <row r="108" spans="1:2" s="17" customFormat="1">
      <c r="A108" s="16"/>
    </row>
    <row r="109" spans="1:2">
      <c r="A109" s="15"/>
      <c r="B109" s="15"/>
    </row>
    <row r="110" spans="1:2">
      <c r="A110" s="15"/>
      <c r="B110" s="15"/>
    </row>
    <row r="111" spans="1:2">
      <c r="A111" s="15"/>
      <c r="B111" s="15"/>
    </row>
    <row r="112" spans="1:2">
      <c r="A112" s="15"/>
      <c r="B112" s="15"/>
    </row>
    <row r="113" spans="1:2">
      <c r="A113" s="15"/>
      <c r="B113" s="15"/>
    </row>
    <row r="114" spans="1:2">
      <c r="A114" s="15"/>
      <c r="B114" s="15"/>
    </row>
    <row r="115" spans="1:2">
      <c r="A115" s="15"/>
      <c r="B115" s="15"/>
    </row>
    <row r="116" spans="1:2">
      <c r="A116" s="15"/>
      <c r="B116" s="15"/>
    </row>
    <row r="117" spans="1:2">
      <c r="A117" s="15"/>
      <c r="B117" s="15"/>
    </row>
    <row r="118" spans="1:2">
      <c r="A118" s="15"/>
      <c r="B118" s="15"/>
    </row>
    <row r="119" spans="1:2">
      <c r="A119" s="15"/>
      <c r="B119" s="15"/>
    </row>
    <row r="120" spans="1:2">
      <c r="A120" s="15"/>
      <c r="B120" s="15"/>
    </row>
    <row r="121" spans="1:2">
      <c r="A121" s="15"/>
      <c r="B121" s="15"/>
    </row>
    <row r="122" spans="1:2">
      <c r="A122" s="15"/>
      <c r="B122" s="15"/>
    </row>
    <row r="123" spans="1:2">
      <c r="A123" s="15"/>
      <c r="B123" s="15"/>
    </row>
    <row r="124" spans="1:2">
      <c r="A124" s="15"/>
      <c r="B124" s="15"/>
    </row>
    <row r="125" spans="1:2">
      <c r="A125" s="15"/>
      <c r="B125" s="15"/>
    </row>
    <row r="126" spans="1:2">
      <c r="A126" s="15"/>
      <c r="B126" s="15"/>
    </row>
    <row r="127" spans="1:2">
      <c r="A127" s="15"/>
      <c r="B127" s="15"/>
    </row>
    <row r="128" spans="1:2">
      <c r="A128" s="15"/>
      <c r="B128" s="15"/>
    </row>
    <row r="129" spans="1:2">
      <c r="A129" s="15"/>
      <c r="B129" s="15"/>
    </row>
    <row r="130" spans="1:2">
      <c r="A130" s="15"/>
      <c r="B130" s="15"/>
    </row>
    <row r="131" spans="1:2">
      <c r="A131" s="15"/>
      <c r="B131" s="15"/>
    </row>
    <row r="132" spans="1:2">
      <c r="A132" s="15"/>
      <c r="B132" s="15"/>
    </row>
    <row r="133" spans="1:2">
      <c r="A133" s="15"/>
      <c r="B133" s="15"/>
    </row>
    <row r="134" spans="1:2">
      <c r="A134" s="15"/>
      <c r="B134" s="15"/>
    </row>
    <row r="135" spans="1:2">
      <c r="A135" s="15"/>
      <c r="B135" s="15"/>
    </row>
    <row r="136" spans="1:2">
      <c r="A136" s="15"/>
      <c r="B136" s="15"/>
    </row>
    <row r="137" spans="1:2">
      <c r="A137" s="15"/>
      <c r="B137" s="15"/>
    </row>
    <row r="138" spans="1:2">
      <c r="A138" s="15"/>
      <c r="B138" s="15"/>
    </row>
    <row r="139" spans="1:2">
      <c r="A139" s="15"/>
      <c r="B139" s="15"/>
    </row>
    <row r="140" spans="1:2">
      <c r="A140" s="15"/>
      <c r="B140" s="15"/>
    </row>
    <row r="141" spans="1:2">
      <c r="A141" s="15"/>
      <c r="B141" s="15"/>
    </row>
    <row r="142" spans="1:2">
      <c r="A142" s="15"/>
      <c r="B142" s="15"/>
    </row>
    <row r="143" spans="1:2">
      <c r="A143" s="15"/>
      <c r="B143" s="15"/>
    </row>
    <row r="144" spans="1:2">
      <c r="A144" s="15"/>
      <c r="B144" s="15"/>
    </row>
    <row r="145" spans="1:2">
      <c r="A145" s="15"/>
      <c r="B145" s="15"/>
    </row>
    <row r="146" spans="1:2">
      <c r="A146" s="15"/>
      <c r="B146" s="15"/>
    </row>
    <row r="147" spans="1:2">
      <c r="A147" s="15"/>
      <c r="B147" s="15"/>
    </row>
    <row r="148" spans="1:2">
      <c r="A148" s="15"/>
      <c r="B148" s="15"/>
    </row>
    <row r="149" spans="1:2">
      <c r="A149" s="15"/>
      <c r="B149" s="15"/>
    </row>
    <row r="150" spans="1:2">
      <c r="A150" s="15"/>
      <c r="B150" s="15"/>
    </row>
    <row r="151" spans="1:2">
      <c r="A151" s="15"/>
      <c r="B151" s="15"/>
    </row>
    <row r="152" spans="1:2">
      <c r="A152" s="15"/>
      <c r="B152" s="15"/>
    </row>
    <row r="153" spans="1:2">
      <c r="A153" s="15"/>
      <c r="B153" s="15"/>
    </row>
    <row r="154" spans="1:2">
      <c r="A154" s="15"/>
      <c r="B154" s="15"/>
    </row>
    <row r="155" spans="1:2">
      <c r="A155" s="15"/>
      <c r="B155" s="15"/>
    </row>
    <row r="156" spans="1:2">
      <c r="A156" s="15"/>
      <c r="B156" s="15"/>
    </row>
    <row r="157" spans="1:2">
      <c r="A157" s="15"/>
      <c r="B157" s="15"/>
    </row>
    <row r="158" spans="1:2">
      <c r="A158" s="15"/>
      <c r="B158" s="15"/>
    </row>
    <row r="159" spans="1:2">
      <c r="A159" s="15"/>
      <c r="B159" s="15"/>
    </row>
    <row r="160" spans="1:2">
      <c r="A160" s="15"/>
      <c r="B160" s="15"/>
    </row>
    <row r="161" spans="1:2">
      <c r="A161" s="15"/>
      <c r="B161" s="15"/>
    </row>
    <row r="162" spans="1:2">
      <c r="A162" s="15"/>
      <c r="B162" s="15"/>
    </row>
    <row r="163" spans="1:2">
      <c r="A163" s="15"/>
      <c r="B163" s="15"/>
    </row>
    <row r="164" spans="1:2">
      <c r="A164" s="15"/>
      <c r="B164" s="15"/>
    </row>
    <row r="165" spans="1:2">
      <c r="A165" s="15"/>
      <c r="B165" s="15"/>
    </row>
    <row r="166" spans="1:2">
      <c r="A166" s="15"/>
      <c r="B166" s="15"/>
    </row>
    <row r="167" spans="1:2">
      <c r="A167" s="15"/>
      <c r="B167" s="15"/>
    </row>
    <row r="168" spans="1:2">
      <c r="A168" s="15"/>
      <c r="B168" s="15"/>
    </row>
    <row r="169" spans="1:2">
      <c r="A169" s="15"/>
      <c r="B169" s="15"/>
    </row>
  </sheetData>
  <mergeCells count="1">
    <mergeCell ref="C1:G1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purl.org/dc/terms/"/>
    <ds:schemaRef ds:uri="851b35d3-0456-4d6a-bc2f-da927e91d158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19483571-f922-4e8e-9c1c-26f0a2252132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Tatiane</cp:lastModifiedBy>
  <cp:revision/>
  <dcterms:created xsi:type="dcterms:W3CDTF">2024-12-19T13:13:10Z</dcterms:created>
  <dcterms:modified xsi:type="dcterms:W3CDTF">2025-04-14T14:42:21Z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